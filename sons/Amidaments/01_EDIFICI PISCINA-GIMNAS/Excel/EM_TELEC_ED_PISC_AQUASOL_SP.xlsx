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Documents 2025\_PR_25_012 HOT HOTEL CABAU AQUASOL\7.- PROJECTE LICITACIÓ Y EXECUTIU\1.- Documents\Amidaments\"/>
    </mc:Choice>
  </mc:AlternateContent>
  <bookViews>
    <workbookView xWindow="0" yWindow="0" windowWidth="24120" windowHeight="114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3" i="1" l="1"/>
  <c r="L263" i="1"/>
  <c r="M4" i="1"/>
  <c r="M261" i="1"/>
  <c r="K4" i="1"/>
  <c r="L4" i="1"/>
  <c r="L261" i="1"/>
  <c r="M259" i="1"/>
  <c r="M89" i="1"/>
  <c r="M257" i="1"/>
  <c r="K89" i="1"/>
  <c r="L89" i="1"/>
  <c r="L257" i="1"/>
  <c r="M243" i="1"/>
  <c r="M255" i="1"/>
  <c r="K243" i="1"/>
  <c r="L243" i="1"/>
  <c r="L255" i="1"/>
  <c r="M250" i="1"/>
  <c r="M253" i="1"/>
  <c r="K250" i="1"/>
  <c r="K253" i="1"/>
  <c r="L250" i="1"/>
  <c r="J252" i="1"/>
  <c r="M245" i="1"/>
  <c r="M248" i="1"/>
  <c r="K245" i="1"/>
  <c r="K248" i="1"/>
  <c r="L245" i="1"/>
  <c r="J247" i="1"/>
  <c r="M224" i="1"/>
  <c r="M241" i="1"/>
  <c r="K224" i="1"/>
  <c r="L224" i="1"/>
  <c r="L241" i="1"/>
  <c r="M236" i="1"/>
  <c r="M239" i="1"/>
  <c r="K236" i="1"/>
  <c r="K239" i="1"/>
  <c r="L236" i="1"/>
  <c r="J238" i="1"/>
  <c r="M231" i="1"/>
  <c r="M234" i="1"/>
  <c r="K231" i="1"/>
  <c r="K234" i="1"/>
  <c r="L231" i="1"/>
  <c r="J233" i="1"/>
  <c r="M226" i="1"/>
  <c r="M229" i="1"/>
  <c r="K226" i="1"/>
  <c r="K229" i="1"/>
  <c r="L226" i="1"/>
  <c r="J228" i="1"/>
  <c r="M146" i="1"/>
  <c r="M222" i="1"/>
  <c r="K146" i="1"/>
  <c r="L146" i="1"/>
  <c r="L222" i="1"/>
  <c r="M179" i="1"/>
  <c r="M220" i="1"/>
  <c r="K179" i="1"/>
  <c r="L179" i="1"/>
  <c r="L220" i="1"/>
  <c r="M215" i="1"/>
  <c r="M218" i="1"/>
  <c r="K215" i="1"/>
  <c r="K218" i="1"/>
  <c r="L215" i="1"/>
  <c r="J217" i="1"/>
  <c r="M210" i="1"/>
  <c r="M213" i="1"/>
  <c r="K210" i="1"/>
  <c r="K213" i="1"/>
  <c r="L210" i="1"/>
  <c r="J212" i="1"/>
  <c r="M205" i="1"/>
  <c r="M208" i="1"/>
  <c r="K205" i="1"/>
  <c r="K208" i="1"/>
  <c r="L205" i="1"/>
  <c r="J207" i="1"/>
  <c r="M197" i="1"/>
  <c r="M203" i="1"/>
  <c r="K197" i="1"/>
  <c r="K203" i="1"/>
  <c r="L197" i="1"/>
  <c r="J202" i="1"/>
  <c r="J201" i="1"/>
  <c r="J200" i="1"/>
  <c r="J199" i="1"/>
  <c r="M192" i="1"/>
  <c r="M195" i="1"/>
  <c r="K192" i="1"/>
  <c r="K195" i="1"/>
  <c r="L192" i="1"/>
  <c r="J194" i="1"/>
  <c r="M187" i="1"/>
  <c r="M190" i="1"/>
  <c r="K187" i="1"/>
  <c r="K190" i="1"/>
  <c r="L187" i="1"/>
  <c r="J189" i="1"/>
  <c r="M181" i="1"/>
  <c r="M185" i="1"/>
  <c r="K181" i="1"/>
  <c r="K185" i="1"/>
  <c r="L181" i="1"/>
  <c r="J184" i="1"/>
  <c r="J183" i="1"/>
  <c r="M148" i="1"/>
  <c r="M177" i="1"/>
  <c r="K148" i="1"/>
  <c r="L148" i="1"/>
  <c r="L177" i="1"/>
  <c r="M172" i="1"/>
  <c r="M175" i="1"/>
  <c r="K172" i="1"/>
  <c r="K175" i="1"/>
  <c r="L172" i="1"/>
  <c r="J174" i="1"/>
  <c r="M167" i="1"/>
  <c r="M170" i="1"/>
  <c r="K167" i="1"/>
  <c r="K170" i="1"/>
  <c r="L167" i="1"/>
  <c r="J169" i="1"/>
  <c r="M161" i="1"/>
  <c r="M165" i="1"/>
  <c r="K161" i="1"/>
  <c r="K165" i="1"/>
  <c r="L161" i="1"/>
  <c r="J164" i="1"/>
  <c r="J163" i="1"/>
  <c r="M155" i="1"/>
  <c r="M159" i="1"/>
  <c r="K155" i="1"/>
  <c r="K159" i="1"/>
  <c r="L155" i="1"/>
  <c r="J158" i="1"/>
  <c r="J157" i="1"/>
  <c r="M150" i="1"/>
  <c r="M153" i="1"/>
  <c r="K150" i="1"/>
  <c r="K153" i="1"/>
  <c r="L150" i="1"/>
  <c r="J152" i="1"/>
  <c r="M110" i="1"/>
  <c r="M144" i="1"/>
  <c r="K110" i="1"/>
  <c r="L110" i="1"/>
  <c r="L144" i="1"/>
  <c r="M135" i="1"/>
  <c r="M142" i="1"/>
  <c r="K135" i="1"/>
  <c r="K142" i="1"/>
  <c r="L135" i="1"/>
  <c r="J141" i="1"/>
  <c r="J140" i="1"/>
  <c r="J139" i="1"/>
  <c r="J138" i="1"/>
  <c r="J137" i="1"/>
  <c r="M130" i="1"/>
  <c r="M133" i="1"/>
  <c r="K130" i="1"/>
  <c r="K133" i="1"/>
  <c r="L130" i="1"/>
  <c r="J132" i="1"/>
  <c r="M120" i="1"/>
  <c r="M128" i="1"/>
  <c r="K120" i="1"/>
  <c r="K128" i="1"/>
  <c r="L120" i="1"/>
  <c r="J127" i="1"/>
  <c r="J126" i="1"/>
  <c r="J125" i="1"/>
  <c r="J124" i="1"/>
  <c r="J123" i="1"/>
  <c r="J122" i="1"/>
  <c r="M112" i="1"/>
  <c r="M118" i="1"/>
  <c r="K112" i="1"/>
  <c r="K118" i="1"/>
  <c r="L112" i="1"/>
  <c r="J117" i="1"/>
  <c r="J116" i="1"/>
  <c r="J115" i="1"/>
  <c r="J114" i="1"/>
  <c r="M91" i="1"/>
  <c r="M108" i="1"/>
  <c r="K91" i="1"/>
  <c r="L91" i="1"/>
  <c r="L108" i="1"/>
  <c r="M103" i="1"/>
  <c r="M106" i="1"/>
  <c r="K103" i="1"/>
  <c r="K106" i="1"/>
  <c r="L103" i="1"/>
  <c r="J105" i="1"/>
  <c r="M98" i="1"/>
  <c r="M101" i="1"/>
  <c r="K98" i="1"/>
  <c r="K101" i="1"/>
  <c r="L98" i="1"/>
  <c r="J100" i="1"/>
  <c r="M93" i="1"/>
  <c r="M96" i="1"/>
  <c r="K93" i="1"/>
  <c r="K96" i="1"/>
  <c r="L93" i="1"/>
  <c r="J95" i="1"/>
  <c r="M80" i="1"/>
  <c r="M87" i="1"/>
  <c r="K80" i="1"/>
  <c r="L80" i="1"/>
  <c r="L87" i="1"/>
  <c r="M82" i="1"/>
  <c r="M85" i="1"/>
  <c r="K82" i="1"/>
  <c r="K85" i="1"/>
  <c r="L82" i="1"/>
  <c r="J84" i="1"/>
  <c r="M21" i="1"/>
  <c r="M78" i="1"/>
  <c r="K21" i="1"/>
  <c r="L21" i="1"/>
  <c r="L78" i="1"/>
  <c r="M32" i="1"/>
  <c r="M76" i="1"/>
  <c r="K32" i="1"/>
  <c r="L32" i="1"/>
  <c r="L76" i="1"/>
  <c r="M70" i="1"/>
  <c r="M74" i="1"/>
  <c r="K70" i="1"/>
  <c r="K74" i="1"/>
  <c r="L70" i="1"/>
  <c r="J73" i="1"/>
  <c r="J72" i="1"/>
  <c r="M64" i="1"/>
  <c r="M68" i="1"/>
  <c r="K64" i="1"/>
  <c r="K68" i="1"/>
  <c r="L64" i="1"/>
  <c r="J67" i="1"/>
  <c r="J66" i="1"/>
  <c r="M58" i="1"/>
  <c r="M62" i="1"/>
  <c r="K58" i="1"/>
  <c r="K62" i="1"/>
  <c r="L58" i="1"/>
  <c r="J61" i="1"/>
  <c r="J60" i="1"/>
  <c r="M52" i="1"/>
  <c r="M56" i="1"/>
  <c r="K52" i="1"/>
  <c r="K56" i="1"/>
  <c r="L52" i="1"/>
  <c r="J55" i="1"/>
  <c r="J54" i="1"/>
  <c r="M46" i="1"/>
  <c r="M50" i="1"/>
  <c r="K46" i="1"/>
  <c r="K50" i="1"/>
  <c r="L46" i="1"/>
  <c r="J49" i="1"/>
  <c r="J48" i="1"/>
  <c r="M41" i="1"/>
  <c r="M44" i="1"/>
  <c r="K41" i="1"/>
  <c r="K44" i="1"/>
  <c r="L41" i="1"/>
  <c r="J43" i="1"/>
  <c r="M34" i="1"/>
  <c r="M39" i="1"/>
  <c r="K34" i="1"/>
  <c r="K39" i="1"/>
  <c r="L34" i="1"/>
  <c r="J38" i="1"/>
  <c r="J37" i="1"/>
  <c r="J36" i="1"/>
  <c r="M23" i="1"/>
  <c r="M30" i="1"/>
  <c r="K23" i="1"/>
  <c r="L23" i="1"/>
  <c r="L30" i="1"/>
  <c r="M25" i="1"/>
  <c r="M28" i="1"/>
  <c r="K25" i="1"/>
  <c r="K28" i="1"/>
  <c r="L25" i="1"/>
  <c r="J27" i="1"/>
  <c r="M6" i="1"/>
  <c r="M19" i="1"/>
  <c r="K6" i="1"/>
  <c r="L6" i="1"/>
  <c r="L19" i="1"/>
  <c r="M14" i="1"/>
  <c r="M17" i="1"/>
  <c r="K14" i="1"/>
  <c r="K17" i="1"/>
  <c r="L14" i="1"/>
  <c r="J16" i="1"/>
  <c r="M8" i="1"/>
  <c r="M12" i="1"/>
  <c r="K8" i="1"/>
  <c r="K12" i="1"/>
  <c r="L8" i="1"/>
  <c r="J11" i="1"/>
  <c r="J10" i="1"/>
</calcChain>
</file>

<file path=xl/sharedStrings.xml><?xml version="1.0" encoding="utf-8"?>
<sst xmlns="http://schemas.openxmlformats.org/spreadsheetml/2006/main" count="370" uniqueCount="226">
  <si>
    <t>Reforma y ampliación Hotel-apartamentos Aquasol</t>
  </si>
  <si>
    <t>Presupuesto</t>
  </si>
  <si>
    <t>Código</t>
  </si>
  <si>
    <t>Resumen</t>
  </si>
  <si>
    <t>ImpPres</t>
  </si>
  <si>
    <t>Nat</t>
  </si>
  <si>
    <t>Ud</t>
  </si>
  <si>
    <t>CanPres</t>
  </si>
  <si>
    <t>PrPres</t>
  </si>
  <si>
    <t>Comentario</t>
  </si>
  <si>
    <t>N</t>
  </si>
  <si>
    <t>Longitud</t>
  </si>
  <si>
    <t>Anchura</t>
  </si>
  <si>
    <t>Altura</t>
  </si>
  <si>
    <t>Parcial</t>
  </si>
  <si>
    <t xml:space="preserve">T            </t>
  </si>
  <si>
    <t>TELECOMUNICACIONES</t>
  </si>
  <si>
    <t>Capítulo</t>
  </si>
  <si>
    <t>u</t>
  </si>
  <si>
    <t xml:space="preserve">T01          </t>
  </si>
  <si>
    <t>RED DE TELEFONIA</t>
  </si>
  <si>
    <t xml:space="preserve">Alcance intervención: Cableado Cat 7 de conecotr RJ45 Cat 7 hasta racks, cableado multipar de racks habitaciones ala izquierda y derecha hasta rack central en planta baja.
</t>
  </si>
  <si>
    <t xml:space="preserve">TEMPORIS180  </t>
  </si>
  <si>
    <t>TERMINAL ANALOGICO DE SOBREMESA BLANCO TEMPORIS 180</t>
  </si>
  <si>
    <t>Partida</t>
  </si>
  <si>
    <t xml:space="preserve">Suministro e instalación de Terminal analógico BLANCO modelo Alcatel temporis 180 de sobremesa, incluso latiguillo RJ11 y verificación.
</t>
  </si>
  <si>
    <t>Almacén 1</t>
  </si>
  <si>
    <t>Almacén 2</t>
  </si>
  <si>
    <t>TEMPORIS180</t>
  </si>
  <si>
    <t xml:space="preserve">MULTIP100    </t>
  </si>
  <si>
    <t>CABLE MULTIPAR 100 PARES</t>
  </si>
  <si>
    <t xml:space="preserve">Suministro e instalación de Cable multipar 100 pares diámetro 0,5 mm tipo EAP EPDS.
</t>
  </si>
  <si>
    <t>rack edificio principal a rack edificio piscina-gimnasio</t>
  </si>
  <si>
    <t>MULTIP100</t>
  </si>
  <si>
    <t>T01</t>
  </si>
  <si>
    <t xml:space="preserve">T02          </t>
  </si>
  <si>
    <t>R-TV+SAT</t>
  </si>
  <si>
    <t xml:space="preserve">T02.1        </t>
  </si>
  <si>
    <t>CABECERA</t>
  </si>
  <si>
    <t/>
  </si>
  <si>
    <t xml:space="preserve">CBRTVSAT     </t>
  </si>
  <si>
    <t>CABECERA R-TV+SAT</t>
  </si>
  <si>
    <t xml:space="preserve">Suministro e instalacion de Cabecera para R-TV+SAT, para TDT y satelites ASTRA, ASTRA 23º (inglaterra),  Hotbird y canales franceses. Listado de canales según necesidades de la propiedad. Fuente de alimentación incluida. Programación y puesta en marcha. totalmente instalado y en funcionamiento
</t>
  </si>
  <si>
    <t>Previsión edificio Gimnasio piscina</t>
  </si>
  <si>
    <t>CBRTVSAT</t>
  </si>
  <si>
    <t>T02.1</t>
  </si>
  <si>
    <t xml:space="preserve">T02.2        </t>
  </si>
  <si>
    <t>RED DE DISTRIBUCION</t>
  </si>
  <si>
    <t xml:space="preserve">KF1155ZH     </t>
  </si>
  <si>
    <t>CABLE COAXIAL PARA INTERIORES</t>
  </si>
  <si>
    <t xml:space="preserve">Suministro e instalación de Cable coaxial 7 mm tipo KF115-5ZH  CPR- BCA de Cavel libre de halógenos.
</t>
  </si>
  <si>
    <t>De cabecera a TV gimnasio</t>
  </si>
  <si>
    <t>satelites</t>
  </si>
  <si>
    <t>TDT</t>
  </si>
  <si>
    <t>KF1155ZH</t>
  </si>
  <si>
    <t xml:space="preserve">PTF020       </t>
  </si>
  <si>
    <t>TUBO CORRUGADO FLEXIBLE LIBRE DE HALOGENOS Ø20mm</t>
  </si>
  <si>
    <t>ml</t>
  </si>
  <si>
    <t xml:space="preserve">Suministro e instalación de tubo corrugado flexible códigos 222140422010 de Øexterior 20 mm según UNE-EN 50086-2-2, libre de halogenos y no propagador de la llama, empotrado en muros, tabique y pavimento o por falso techo. Se incluye parte proporcional sujeciones tubo (por falso techo), accesorios y pequeño material. Conexionado y montaje.
</t>
  </si>
  <si>
    <t>PTF020</t>
  </si>
  <si>
    <t xml:space="preserve">DIST2SAL     </t>
  </si>
  <si>
    <t>DISTRIBUIDOR DE 2 SALIDAS</t>
  </si>
  <si>
    <t xml:space="preserve">Suministro e instalación de Distribuidor inductivo blindado con conexionado F de 2 salidas Televés 5..2500 MHz 5/4dB o similar equivalente. Incluso pp de caja estanca de derivación, onectores F y resistencias, accesorios y material necesario para su montaje e instalación.
</t>
  </si>
  <si>
    <t>DIST2SAL</t>
  </si>
  <si>
    <t xml:space="preserve">DERIV2SAL    </t>
  </si>
  <si>
    <t>DERIVADOR DE 2 SALIDAS</t>
  </si>
  <si>
    <t>DERIV2SAL</t>
  </si>
  <si>
    <t xml:space="preserve">DERIV4SAL    </t>
  </si>
  <si>
    <t>DERIVADOR DE 4 SALIDAS</t>
  </si>
  <si>
    <t>DERIV4SAL</t>
  </si>
  <si>
    <t xml:space="preserve">AMPLLIN      </t>
  </si>
  <si>
    <t>AMPLIFICADOR DE LINEA</t>
  </si>
  <si>
    <t>AMPLLIN</t>
  </si>
  <si>
    <t xml:space="preserve">BM111        </t>
  </si>
  <si>
    <t>TOMA R-TV+SAT</t>
  </si>
  <si>
    <t xml:space="preserve">Suministro e instalación Toma de señal R-TV+SAT inductiva única de dos conectores y un hilo. Basada en conectores IEC 9,5 mm. Ø, sistema de embornamiento a tornillo, funcionamiento a inserción, 7 mm de cable pelado y posee de 6 a 8 mm de sección de cable admitida. Marca Simon modelo 75486-39, incluso tapa Simon modelo 82053-38 serie 82 color negro grafito. Instalada y comprobada de forma individual. Marcos en capitulo Mecanismos Electricos
</t>
  </si>
  <si>
    <t>Gimnasio</t>
  </si>
  <si>
    <t>Spa-solarium</t>
  </si>
  <si>
    <t>BM111</t>
  </si>
  <si>
    <t>T02.2</t>
  </si>
  <si>
    <t>T02</t>
  </si>
  <si>
    <t xml:space="preserve">T03          </t>
  </si>
  <si>
    <t>CCTV</t>
  </si>
  <si>
    <t xml:space="preserve">Previsión
</t>
  </si>
  <si>
    <t>prevision edificio piscina-gimnasio</t>
  </si>
  <si>
    <t>T03</t>
  </si>
  <si>
    <t xml:space="preserve">T04          </t>
  </si>
  <si>
    <t>RED DE DATOS</t>
  </si>
  <si>
    <t xml:space="preserve">Alcance intervernción:
Habitaciones:  tapa mecanismo y 2 tomas cat 7 TV y 1 toma cat 7 TF (en capitulo habitaciones), 1 AP Wifi por habitacion, cableado Cat7. y canalización hasta racks, panel de parcheo y switch necesarios (en presente capitulo)
ZZNN: tomas para puestos de trabajo ZZNN, BMS y FV, cableado y canalización (en presente capitulo)
</t>
  </si>
  <si>
    <t xml:space="preserve">T04.2        </t>
  </si>
  <si>
    <t>RED TRONCAL</t>
  </si>
  <si>
    <t xml:space="preserve">Está constituida por el conjunto de cables de fibra óptica destinada a la unión de los racks de datos. Racks ala izquierda y ala derecha con rack central
</t>
  </si>
  <si>
    <t xml:space="preserve">FOSM         </t>
  </si>
  <si>
    <t>CABLE F0 12 FIBRAS MONOMODO OS2</t>
  </si>
  <si>
    <t>m</t>
  </si>
  <si>
    <t xml:space="preserve">Suministro e instalación de Cable 12 fibras interior/exterior Monomodo OS2  armada dieléctrica antirroedores .Instalada
</t>
  </si>
  <si>
    <t>Rack Almacén 2</t>
  </si>
  <si>
    <t>FOSM</t>
  </si>
  <si>
    <t xml:space="preserve">PTF025       </t>
  </si>
  <si>
    <t>TUBO CORRUGADO FLEXIBLE LIBRE DE HALOGENOS Ø25mm</t>
  </si>
  <si>
    <t>PTF025</t>
  </si>
  <si>
    <t xml:space="preserve">PRUEB        </t>
  </si>
  <si>
    <t>PRUEVAS OTDR</t>
  </si>
  <si>
    <t xml:space="preserve">Pruebas con OTDR en ambos sebtidos de todos los circuitos , entregar documenttación, en papel y digital.
</t>
  </si>
  <si>
    <t>PRUEB</t>
  </si>
  <si>
    <t>T04.2</t>
  </si>
  <si>
    <t xml:space="preserve">T04.3        </t>
  </si>
  <si>
    <t>RED DE DISPERSION</t>
  </si>
  <si>
    <t xml:space="preserve">Todas las terminaciones de cableado irán a toma RJ45 Cat.7. Los AP Wifis se conectarán directamente a cable sin toma UTP.
</t>
  </si>
  <si>
    <t xml:space="preserve">DC6KYSTUWT   </t>
  </si>
  <si>
    <t>TOMA RJ-45 CAT 7 FTP CORNING</t>
  </si>
  <si>
    <t>TVs Gimnasio</t>
  </si>
  <si>
    <t>TFs Almacén 1 y almacén 2</t>
  </si>
  <si>
    <t>Tomas gimnasio</t>
  </si>
  <si>
    <t>Tomas solarium spa</t>
  </si>
  <si>
    <t>DC6KYSTUWT</t>
  </si>
  <si>
    <t xml:space="preserve">CABLEUTP7    </t>
  </si>
  <si>
    <t>CABLE S/FTP 4 pares CAT7</t>
  </si>
  <si>
    <t xml:space="preserve">Suministro e instalación de Cable Cat 7 S/FTP AWG23 clase F, Marca: 3M Corning, de las siguientes características:
Diámetro del conductor: AWG 23. 
Diámetro del aislamiento: PE Ø 1.35 +/- 0.05 mm. 
Separador: Ninguno. 
Conjuntos de cables: 1x4 pares. 
Cubierta Material: LSOH. 
Color de la chaqueta: Verde.  
Peso (máx.) 52 Kg / km.
Resistencia al fuego normativa europea: EN 60332-1, EN 50399, EN 60754-2, EN 61034-2.
Resistencia al fuego normativa internacional: IEC 60332-1, IEC 61034-2, IEC 60754-2, IEC 60754-1.
Características mecánicas:
Diámetro exterior del cable: 7.8 +/- 0.5 mm.
Radio de curvatura dinámico (instalación):= 8x.
Radio de curvatura estático (instalación):= 4x.
Rango de temperatura en uso: -10°C to + 60°C.
Rango de temperatura en transporte: 0°C to + 50°C.
Características eléctricas:
Conductor resistencia DC (máx.):  9,4 O / 100 m @ 20 ° C.
Desequilibrio de resistencia (máx.): 2% @ 20 ° C.
Resistencia de aislamiento: (500 V) 5000 MO.km @ 20 ° C.
Tensión de prueba (DC, mín.):  1 kV / 1.
NVP: (nominal): 72%.
.Totalmente instalado e identificado, para llevar el servicio desde el patch panel rack de voz-datos  de cada zona hasta la toma de RJ45.
</t>
  </si>
  <si>
    <t>AP Wifi ZZNN</t>
  </si>
  <si>
    <t>Telf. almacén 1</t>
  </si>
  <si>
    <t>Telf. almacén 2</t>
  </si>
  <si>
    <t>CABLEUTP7</t>
  </si>
  <si>
    <t xml:space="preserve">LATIG        </t>
  </si>
  <si>
    <t>LATIGUILLOS RJ 45 CAT 7 2m</t>
  </si>
  <si>
    <t xml:space="preserve">Suministro e instalación de latiguillos para parcheo en rack y equipos terminales, RJ45 de Categoria.7 S/FTP COBRE AWG26 LSHZ 500 MHZ. Cable de conexión para conexiones de red entre dispositivos. Cable de par trenzado blindado (PiMF) preparado (Cat.7) con conectores RJ-45 (hasta 500 MHz) en ambos extremos. Duradero debido a la protección de la torcedura moldeada. Cable flexible, adecuado para flexión estrecha. Impedancia: 100 Ohm. Configuraciones de contacto 1: 1, de acuerdo con el estándar EIA / TIA 568. Construcción: 8 líneas, pares blindados con papel de aluminio, blindaje trenzado completo
</t>
  </si>
  <si>
    <t>LATIG</t>
  </si>
  <si>
    <t>T04.3</t>
  </si>
  <si>
    <t xml:space="preserve">T04.4        </t>
  </si>
  <si>
    <t>RACKS DE DATOS</t>
  </si>
  <si>
    <t xml:space="preserve">Servicios(762) : 288 TV habitaciones, 288 TFs habitaciones, 144 wifi habitaciones, 3 TV ZZNN, 4 TFs ZZNN, 11 wifi ZZNN, Puestos de trabajo. 18 tomas datos, 2 BMS y 4 FV
</t>
  </si>
  <si>
    <t xml:space="preserve">T04.4.1      </t>
  </si>
  <si>
    <t>ARMARIOS RACKS</t>
  </si>
  <si>
    <t xml:space="preserve">RACK         </t>
  </si>
  <si>
    <t>RACK 42 U</t>
  </si>
  <si>
    <t xml:space="preserve">Suministro e instalación de Armario mural metálico 19" construido en chapa y acero, provisto de aperturas para autoventilación, entradas de cables autoventilada,ruedas con sistema de bloqueo , paneles laterales y trasero desmontables , puerta de cristal templado reversible con cierre ,cáncamos de elevación , conjunto para soportaje de cables a la estructura , guía cables vertical ,  base 12 toma schucko con magneto 16A , ventilación forzada 4 rotores, conexiones y colectores de puesta a tierra.Modelo VDAC42U88- 42U (alto 2000 , ancho 800 , fondo 800 mm).
</t>
  </si>
  <si>
    <t>almacén 2</t>
  </si>
  <si>
    <t>RACK</t>
  </si>
  <si>
    <t xml:space="preserve">PARCHEO48    </t>
  </si>
  <si>
    <t>PANEL PARCHEO 19" 48 CAT7</t>
  </si>
  <si>
    <t xml:space="preserve">Suministro e instalación de Panel 19", 48 tomas UTP 3M RJ-45 categoría 7. Totalmente instalado y conexionado.
</t>
  </si>
  <si>
    <t>datos</t>
  </si>
  <si>
    <t>Rack almacén 2</t>
  </si>
  <si>
    <t>PARCHEO48</t>
  </si>
  <si>
    <t xml:space="preserve">PANEL25P     </t>
  </si>
  <si>
    <t>PANEL PARCHEO 25 PUERTOS RJ45 CAT3</t>
  </si>
  <si>
    <t xml:space="preserve">Panel 19", 25 puertos RJ-45 categoría 3 de 3M color negro. Totalmente instalado, conexionado y certificado.Valorar quitar el cable actual colocar el nuevo y timbrar	
</t>
  </si>
  <si>
    <t>telefonia</t>
  </si>
  <si>
    <t>PANEL25P</t>
  </si>
  <si>
    <t xml:space="preserve">GUIA CABL    </t>
  </si>
  <si>
    <t>Panel 19" guía cables 1 unidad con tapa.Instalado.</t>
  </si>
  <si>
    <t xml:space="preserve">Suministro e instalación de Panel 19" guía cables 1 unidad con tapa.Instalado.
</t>
  </si>
  <si>
    <t>GUIA CABL</t>
  </si>
  <si>
    <t xml:space="preserve">BAND400      </t>
  </si>
  <si>
    <t>BANDEJA 400mm</t>
  </si>
  <si>
    <t xml:space="preserve">Suministro e instalación de Bandeja para equipamiento 400 mm de fondo.
</t>
  </si>
  <si>
    <t>BAND400</t>
  </si>
  <si>
    <t>T04.4.1</t>
  </si>
  <si>
    <t xml:space="preserve">T04.4.2      </t>
  </si>
  <si>
    <t>SWITCHES</t>
  </si>
  <si>
    <t>USW-Pro-48-Po</t>
  </si>
  <si>
    <t>SWITCH 48Puertos POE++ 1U</t>
  </si>
  <si>
    <t xml:space="preserve">Suministro e instalación de Switch gestionable 48 puertos RJ45 10/100/1000 + 4 puertos de ethernet SFP+ 1/10Gbps, marca Dell, con 40 puertos GbE, 802.3at POE+ y 8 puertos GbE, 802.3bt PoE++ 600W totales POE. Incluye todos los accesorios mecánicos. Configuración y puesta en marcha,
</t>
  </si>
  <si>
    <t>WIFI</t>
  </si>
  <si>
    <t xml:space="preserve">USW-Pro-48   </t>
  </si>
  <si>
    <t>SWITCH 48Puertos 1U</t>
  </si>
  <si>
    <t xml:space="preserve">Suministro e instalación de Switch gestionable 48 puertos RJ45 10/100/1000 + 4 puertos de ethernet SFP+ 1/10Gbps, marca Dell. Incluye todos los accesorios mecánicos. Configuración y puesta en marcha,
</t>
  </si>
  <si>
    <t>USW-Pro-48</t>
  </si>
  <si>
    <t xml:space="preserve">CERTRED      </t>
  </si>
  <si>
    <t>CERTIFICACION DE RED</t>
  </si>
  <si>
    <t xml:space="preserve">Certificación de cableado y tomas de red CAT6, mediante analizador de red Fluke, incluso documentación.
</t>
  </si>
  <si>
    <t>CERTRED</t>
  </si>
  <si>
    <t xml:space="preserve">LATOM3       </t>
  </si>
  <si>
    <t>LAITGUILLOS FO OS2</t>
  </si>
  <si>
    <t xml:space="preserve">Suministro e instalación de Latiguillos duplex  fibra óptica OS2 con conectores LC-LC.
</t>
  </si>
  <si>
    <t>LATOM3</t>
  </si>
  <si>
    <t xml:space="preserve">FUSFIB       </t>
  </si>
  <si>
    <t>FUSION DE FIBRA MEDIANTE PIGTAIL</t>
  </si>
  <si>
    <t xml:space="preserve">Suministro e instalación de Fusión de fibra mediante pigtail 
</t>
  </si>
  <si>
    <t>FUSFIB</t>
  </si>
  <si>
    <t xml:space="preserve">CFOOM3       </t>
  </si>
  <si>
    <t>CABLE DE FIBRA CON CONECTOR 1 EXTREMO OS2</t>
  </si>
  <si>
    <t xml:space="preserve">Suministro e instalación de Cable de fibra 3M con conector en un extremo  OS2 Pigtail LC
</t>
  </si>
  <si>
    <t>CFOOM3</t>
  </si>
  <si>
    <t>T04.4.2</t>
  </si>
  <si>
    <t>T04.4</t>
  </si>
  <si>
    <t xml:space="preserve">T04.5        </t>
  </si>
  <si>
    <t>PUNTO DE ACCESO INALAMBRICO (WI-FI)</t>
  </si>
  <si>
    <t xml:space="preserve">Canalizacion y cableado nuevo, reubicación de 32 AP Wifi en interior de habitaciones.112 nuevos AP Wifi en interior de habitaciones, 11 AP Wifi ZZNN.
</t>
  </si>
  <si>
    <t xml:space="preserve">COLWIFI      </t>
  </si>
  <si>
    <t>MONTAJE DE AP WIFI</t>
  </si>
  <si>
    <t xml:space="preserve">Montaje de AP Wifi existente a entregar por mantenimiento, en habitaciones. Conexionado y prueba de funcionamiento.	
</t>
  </si>
  <si>
    <t>AP wifi edificio gimnasio piscina</t>
  </si>
  <si>
    <t>COLWIFI</t>
  </si>
  <si>
    <t>9U1-R310-WW02</t>
  </si>
  <si>
    <t>AP WIFI RUCKUS R320</t>
  </si>
  <si>
    <t xml:space="preserve">Suministro e instalación de AP Wifi Marca Rufus modelo R320 Punto de acceso Wi-Fi 802.11ac 2x2:2 Wave 2 para interiores.
Dimensiones
Ancho		138 mm  
Profundidad	132 mm  
Altura		31 mm  
Incluso configuración, conexionado. Totalmente probado y funcionando.
</t>
  </si>
  <si>
    <t xml:space="preserve">ACTFIR       </t>
  </si>
  <si>
    <t>ACTUALIZACION FIRMWARE CONTROLADORA Ruckus ZD3000</t>
  </si>
  <si>
    <t xml:space="preserve">Actualizacion de firmware de controladora Ruckus ZD3000.
</t>
  </si>
  <si>
    <t>ACTFIR</t>
  </si>
  <si>
    <t>T04.5</t>
  </si>
  <si>
    <t xml:space="preserve">T04.6        </t>
  </si>
  <si>
    <t>PRUEBAS INSTALACION Y DOCUMENTACION</t>
  </si>
  <si>
    <t xml:space="preserve">VERFS        </t>
  </si>
  <si>
    <t>VERIFICACION DEL SISTEMA DE CABLEADO E INTERCONEXION</t>
  </si>
  <si>
    <t xml:space="preserve">Verificación del sistema de cableado e interconexión, funcionamiento de todos los equipos.
</t>
  </si>
  <si>
    <t>VERFS</t>
  </si>
  <si>
    <t xml:space="preserve">DOCFOB       </t>
  </si>
  <si>
    <t>DOCUMENTACION FINAL OBRA</t>
  </si>
  <si>
    <t xml:space="preserve">Elaboración de documentación final de obra (certificados y fichas técnicas de materiales y equipos, listado de puntos) y entrega en papel y formato USB.
</t>
  </si>
  <si>
    <t>DOCFOB</t>
  </si>
  <si>
    <t>T04.6</t>
  </si>
  <si>
    <t>T04</t>
  </si>
  <si>
    <t xml:space="preserve">T05          </t>
  </si>
  <si>
    <t>SONIDO</t>
  </si>
  <si>
    <t xml:space="preserve">No se interviene
</t>
  </si>
  <si>
    <t>T</t>
  </si>
  <si>
    <t>HEP</t>
  </si>
  <si>
    <t>Cabeceras y red distribución. Cableado y tomas de habitaciones en capitulo de habitaciones</t>
  </si>
  <si>
    <t>Suministro e instalación de tubo corrugado flexible códigos 222140422010 de Øexterior 20 mm según UNE-EN 50086-2-2, libre de halogenos y no propagador de la llama, empotrado en muros, tabique y pavimento o por falso techo. Se incluye parte proporcional sujeciones tubo (por falso techo), accesorios y pequeño material. Conexionado y montaje.</t>
  </si>
  <si>
    <t>Suministro e instalación de Derivador  inductivo blindado con conexionado F de 2 salidas Televés 5..2500MHz o similar equivalente. Incluso pp de caja estanca de derivación, onectores F y resistencias, accesorios y material necesario para su montaje e instalación.</t>
  </si>
  <si>
    <t>Suministro e instalación de Derivador  inductivo blindado con conexionado F de 4 salidas Televés 5..2500MHz o similar equivalente. Incluso pp de caja estanca de derivación, onectores F y resistencias, accesorios y material necesario para su montaje e instalación.</t>
  </si>
  <si>
    <t>Suministro e instalación de Amplificador de linea Marca Televés referencia 7485 o similar equivalente. Incluso pp de caja estanca de derivación, onectores F y resistencias, accesorios y material necesario para su montaje e instalación.</t>
  </si>
  <si>
    <t>Suministro e instalación de tubo corrugado flexible códigos 222140422010 de Øexterior 25 mm según UNE-EN 50086-2-2, libre de halogenos y no propagador de la llama, empotrado en muros, tabique y pavimento o por falso techo. Se incluye parte proporcional sujeciones tubo (por falso techo), accesorios y pequeño material. Conexionado y montaje.</t>
  </si>
  <si>
    <t>Suministro e instalación de Conector RJ45 Cat7 FTP Keystone Marca Corning o similar equivalente.Totalmente instalado y en funcionamiento. Marcos, tapa y accesorios en capitulo Mecanismos Electricos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</si>
</sst>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top"/>
    </xf>
    <xf numFmtId="49" fontId="4" fillId="3" borderId="0" xfId="0" applyNumberFormat="1" applyFont="1" applyFill="1" applyAlignment="1">
      <alignment vertical="top"/>
    </xf>
    <xf numFmtId="0" fontId="4" fillId="3" borderId="0" xfId="0" applyFont="1" applyFill="1" applyAlignment="1">
      <alignment vertical="top"/>
    </xf>
    <xf numFmtId="3" fontId="4" fillId="2" borderId="0" xfId="0" applyNumberFormat="1" applyFont="1" applyFill="1" applyAlignment="1">
      <alignment vertical="top"/>
    </xf>
    <xf numFmtId="4" fontId="4" fillId="2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49" fontId="4" fillId="4" borderId="0" xfId="0" applyNumberFormat="1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/>
    </xf>
    <xf numFmtId="4" fontId="3" fillId="2" borderId="0" xfId="0" applyNumberFormat="1" applyFont="1" applyFill="1" applyAlignment="1">
      <alignment vertical="top"/>
    </xf>
    <xf numFmtId="4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3" fillId="5" borderId="0" xfId="0" applyFont="1" applyFill="1" applyAlignment="1">
      <alignment vertical="top"/>
    </xf>
    <xf numFmtId="4" fontId="4" fillId="4" borderId="0" xfId="0" applyNumberFormat="1" applyFont="1" applyFill="1" applyAlignment="1">
      <alignment vertical="top"/>
    </xf>
    <xf numFmtId="3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49" fontId="4" fillId="3" borderId="0" xfId="0" applyNumberFormat="1" applyFont="1" applyFill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baseColWidth="10" defaultRowHeight="15" x14ac:dyDescent="0.25"/>
  <cols>
    <col min="1" max="1" width="15.5703125" bestFit="1" customWidth="1"/>
    <col min="2" max="2" width="6.5703125" customWidth="1"/>
    <col min="3" max="3" width="3.7109375" customWidth="1"/>
    <col min="4" max="4" width="91" customWidth="1"/>
    <col min="5" max="5" width="37.42578125" bestFit="1" customWidth="1"/>
    <col min="6" max="6" width="5.28515625" customWidth="1"/>
    <col min="7" max="7" width="8.5703125" customWidth="1"/>
    <col min="8" max="8" width="8.140625" customWidth="1"/>
    <col min="9" max="9" width="6.5703125" customWidth="1"/>
    <col min="10" max="10" width="12.5703125" bestFit="1" customWidth="1"/>
    <col min="11" max="11" width="7.85546875" customWidth="1"/>
    <col min="12" max="12" width="6.5703125" customWidth="1"/>
    <col min="13" max="13" width="7.710937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.75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2</v>
      </c>
      <c r="B3" s="5" t="s">
        <v>5</v>
      </c>
      <c r="C3" s="5" t="s">
        <v>6</v>
      </c>
      <c r="D3" s="22" t="s">
        <v>3</v>
      </c>
      <c r="E3" s="5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7</v>
      </c>
      <c r="L3" s="6" t="s">
        <v>8</v>
      </c>
      <c r="M3" s="6" t="s">
        <v>4</v>
      </c>
    </row>
    <row r="4" spans="1:13" x14ac:dyDescent="0.25">
      <c r="A4" s="7" t="s">
        <v>15</v>
      </c>
      <c r="B4" s="7" t="s">
        <v>17</v>
      </c>
      <c r="C4" s="7" t="s">
        <v>18</v>
      </c>
      <c r="D4" s="23" t="s">
        <v>16</v>
      </c>
      <c r="E4" s="8"/>
      <c r="F4" s="8"/>
      <c r="G4" s="8"/>
      <c r="H4" s="8"/>
      <c r="I4" s="8"/>
      <c r="J4" s="8"/>
      <c r="K4" s="9">
        <f>K261</f>
        <v>1</v>
      </c>
      <c r="L4" s="10">
        <f>L261</f>
        <v>0</v>
      </c>
      <c r="M4" s="10">
        <f>M261</f>
        <v>0</v>
      </c>
    </row>
    <row r="5" spans="1:13" x14ac:dyDescent="0.25">
      <c r="A5" s="11"/>
      <c r="B5" s="11"/>
      <c r="C5" s="11"/>
      <c r="D5" s="14"/>
      <c r="E5" s="11"/>
      <c r="F5" s="11"/>
      <c r="G5" s="11"/>
      <c r="H5" s="11"/>
      <c r="I5" s="11"/>
      <c r="J5" s="11"/>
      <c r="K5" s="11"/>
      <c r="L5" s="11"/>
      <c r="M5" s="11"/>
    </row>
    <row r="6" spans="1:13" x14ac:dyDescent="0.25">
      <c r="A6" s="12" t="s">
        <v>19</v>
      </c>
      <c r="B6" s="12" t="s">
        <v>17</v>
      </c>
      <c r="C6" s="12" t="s">
        <v>18</v>
      </c>
      <c r="D6" s="24" t="s">
        <v>20</v>
      </c>
      <c r="E6" s="13"/>
      <c r="F6" s="13"/>
      <c r="G6" s="13"/>
      <c r="H6" s="13"/>
      <c r="I6" s="13"/>
      <c r="J6" s="13"/>
      <c r="K6" s="10">
        <f>K19</f>
        <v>1</v>
      </c>
      <c r="L6" s="10">
        <f>L19</f>
        <v>0</v>
      </c>
      <c r="M6" s="10">
        <f>M19</f>
        <v>0</v>
      </c>
    </row>
    <row r="7" spans="1:13" ht="33.75" x14ac:dyDescent="0.25">
      <c r="A7" s="11"/>
      <c r="B7" s="11"/>
      <c r="C7" s="11"/>
      <c r="D7" s="14" t="s">
        <v>21</v>
      </c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15" t="s">
        <v>22</v>
      </c>
      <c r="B8" s="15" t="s">
        <v>24</v>
      </c>
      <c r="C8" s="15" t="s">
        <v>18</v>
      </c>
      <c r="D8" s="25" t="s">
        <v>23</v>
      </c>
      <c r="E8" s="11"/>
      <c r="F8" s="11"/>
      <c r="G8" s="11"/>
      <c r="H8" s="11"/>
      <c r="I8" s="11"/>
      <c r="J8" s="11"/>
      <c r="K8" s="16">
        <f>K12</f>
        <v>2</v>
      </c>
      <c r="L8" s="16">
        <f>L12</f>
        <v>0</v>
      </c>
      <c r="M8" s="16">
        <f>M12</f>
        <v>0</v>
      </c>
    </row>
    <row r="9" spans="1:13" ht="33.75" x14ac:dyDescent="0.25">
      <c r="A9" s="11"/>
      <c r="B9" s="11"/>
      <c r="C9" s="11"/>
      <c r="D9" s="14" t="s">
        <v>25</v>
      </c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1"/>
      <c r="B10" s="11"/>
      <c r="C10" s="11"/>
      <c r="D10" s="14"/>
      <c r="E10" s="15" t="s">
        <v>26</v>
      </c>
      <c r="F10" s="11">
        <v>1</v>
      </c>
      <c r="G10" s="17">
        <v>0</v>
      </c>
      <c r="H10" s="17">
        <v>0</v>
      </c>
      <c r="I10" s="17">
        <v>0</v>
      </c>
      <c r="J10" s="16">
        <f>F10*(G10+ (G10= 0))*(H10+ (H10= 0))*(I10+ (I10= 0))</f>
        <v>1</v>
      </c>
      <c r="K10" s="11"/>
      <c r="L10" s="11"/>
      <c r="M10" s="11"/>
    </row>
    <row r="11" spans="1:13" x14ac:dyDescent="0.25">
      <c r="A11" s="11"/>
      <c r="B11" s="11"/>
      <c r="C11" s="11"/>
      <c r="D11" s="14"/>
      <c r="E11" s="15" t="s">
        <v>27</v>
      </c>
      <c r="F11" s="11">
        <v>1</v>
      </c>
      <c r="G11" s="17">
        <v>0</v>
      </c>
      <c r="H11" s="17">
        <v>0</v>
      </c>
      <c r="I11" s="17">
        <v>0</v>
      </c>
      <c r="J11" s="16">
        <f>F11*(G11+ (G11= 0))*(H11+ (H11= 0))*(I11+ (I11= 0))</f>
        <v>1</v>
      </c>
      <c r="K11" s="11"/>
      <c r="L11" s="11"/>
      <c r="M11" s="11"/>
    </row>
    <row r="12" spans="1:13" x14ac:dyDescent="0.25">
      <c r="A12" s="11"/>
      <c r="B12" s="11"/>
      <c r="C12" s="11"/>
      <c r="D12" s="14"/>
      <c r="E12" s="11"/>
      <c r="F12" s="11"/>
      <c r="G12" s="11"/>
      <c r="H12" s="11"/>
      <c r="I12" s="11"/>
      <c r="J12" s="18" t="s">
        <v>28</v>
      </c>
      <c r="K12" s="10">
        <f>SUM(J10:J11)</f>
        <v>2</v>
      </c>
      <c r="L12" s="17">
        <v>0</v>
      </c>
      <c r="M12" s="10">
        <f>ROUND(L12*K12,2)</f>
        <v>0</v>
      </c>
    </row>
    <row r="13" spans="1:13" x14ac:dyDescent="0.25">
      <c r="A13" s="19"/>
      <c r="B13" s="19"/>
      <c r="C13" s="19"/>
      <c r="D13" s="26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A14" s="15" t="s">
        <v>29</v>
      </c>
      <c r="B14" s="15" t="s">
        <v>24</v>
      </c>
      <c r="C14" s="15" t="s">
        <v>18</v>
      </c>
      <c r="D14" s="25" t="s">
        <v>30</v>
      </c>
      <c r="E14" s="11"/>
      <c r="F14" s="11"/>
      <c r="G14" s="11"/>
      <c r="H14" s="11"/>
      <c r="I14" s="11"/>
      <c r="J14" s="11"/>
      <c r="K14" s="16">
        <f>K17</f>
        <v>125</v>
      </c>
      <c r="L14" s="16">
        <f>L17</f>
        <v>0</v>
      </c>
      <c r="M14" s="16">
        <f>M17</f>
        <v>0</v>
      </c>
    </row>
    <row r="15" spans="1:13" ht="22.5" x14ac:dyDescent="0.25">
      <c r="A15" s="11"/>
      <c r="B15" s="11"/>
      <c r="C15" s="11"/>
      <c r="D15" s="14" t="s">
        <v>31</v>
      </c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25">
      <c r="A16" s="11"/>
      <c r="B16" s="11"/>
      <c r="C16" s="11"/>
      <c r="D16" s="14"/>
      <c r="E16" s="15" t="s">
        <v>32</v>
      </c>
      <c r="F16" s="11">
        <v>125</v>
      </c>
      <c r="G16" s="17">
        <v>0</v>
      </c>
      <c r="H16" s="17">
        <v>0</v>
      </c>
      <c r="I16" s="17">
        <v>0</v>
      </c>
      <c r="J16" s="16">
        <f>F16*(G16+ (G16= 0))*(H16+ (H16= 0))*(I16+ (I16= 0))</f>
        <v>125</v>
      </c>
      <c r="K16" s="11"/>
      <c r="L16" s="11"/>
      <c r="M16" s="11"/>
    </row>
    <row r="17" spans="1:13" x14ac:dyDescent="0.25">
      <c r="A17" s="11"/>
      <c r="B17" s="11"/>
      <c r="C17" s="11"/>
      <c r="D17" s="14"/>
      <c r="E17" s="11"/>
      <c r="F17" s="11"/>
      <c r="G17" s="11"/>
      <c r="H17" s="11"/>
      <c r="I17" s="11"/>
      <c r="J17" s="18" t="s">
        <v>33</v>
      </c>
      <c r="K17" s="10">
        <f>SUM(J16:J16)</f>
        <v>125</v>
      </c>
      <c r="L17" s="17">
        <v>0</v>
      </c>
      <c r="M17" s="10">
        <f>ROUND(L17*K17,2)</f>
        <v>0</v>
      </c>
    </row>
    <row r="18" spans="1:13" x14ac:dyDescent="0.25">
      <c r="A18" s="19"/>
      <c r="B18" s="19"/>
      <c r="C18" s="19"/>
      <c r="D18" s="26"/>
      <c r="E18" s="19"/>
      <c r="F18" s="19"/>
      <c r="G18" s="19"/>
      <c r="H18" s="19"/>
      <c r="I18" s="19"/>
      <c r="J18" s="19"/>
      <c r="K18" s="19"/>
      <c r="L18" s="19"/>
      <c r="M18" s="19"/>
    </row>
    <row r="19" spans="1:13" x14ac:dyDescent="0.25">
      <c r="A19" s="11"/>
      <c r="B19" s="11"/>
      <c r="C19" s="11"/>
      <c r="D19" s="14"/>
      <c r="E19" s="11"/>
      <c r="F19" s="11"/>
      <c r="G19" s="11"/>
      <c r="H19" s="11"/>
      <c r="I19" s="11"/>
      <c r="J19" s="18" t="s">
        <v>34</v>
      </c>
      <c r="K19" s="17">
        <v>1</v>
      </c>
      <c r="L19" s="10">
        <f>M12+M17</f>
        <v>0</v>
      </c>
      <c r="M19" s="10">
        <f>ROUND(L19*K19,2)</f>
        <v>0</v>
      </c>
    </row>
    <row r="20" spans="1:13" x14ac:dyDescent="0.25">
      <c r="A20" s="19"/>
      <c r="B20" s="19"/>
      <c r="C20" s="19"/>
      <c r="D20" s="26"/>
      <c r="E20" s="19"/>
      <c r="F20" s="19"/>
      <c r="G20" s="19"/>
      <c r="H20" s="19"/>
      <c r="I20" s="19"/>
      <c r="J20" s="19"/>
      <c r="K20" s="19"/>
      <c r="L20" s="19"/>
      <c r="M20" s="19"/>
    </row>
    <row r="21" spans="1:13" x14ac:dyDescent="0.25">
      <c r="A21" s="12" t="s">
        <v>35</v>
      </c>
      <c r="B21" s="12" t="s">
        <v>17</v>
      </c>
      <c r="C21" s="12" t="s">
        <v>18</v>
      </c>
      <c r="D21" s="24" t="s">
        <v>36</v>
      </c>
      <c r="E21" s="13"/>
      <c r="F21" s="13"/>
      <c r="G21" s="13"/>
      <c r="H21" s="13"/>
      <c r="I21" s="13"/>
      <c r="J21" s="13"/>
      <c r="K21" s="10">
        <f>K78</f>
        <v>1</v>
      </c>
      <c r="L21" s="10">
        <f>L78</f>
        <v>0</v>
      </c>
      <c r="M21" s="10">
        <f>M78</f>
        <v>0</v>
      </c>
    </row>
    <row r="22" spans="1:13" x14ac:dyDescent="0.25">
      <c r="A22" s="11"/>
      <c r="B22" s="11"/>
      <c r="C22" s="11"/>
      <c r="D22" s="14" t="s">
        <v>219</v>
      </c>
      <c r="E22" s="11"/>
      <c r="F22" s="11"/>
      <c r="G22" s="11"/>
      <c r="H22" s="11"/>
      <c r="I22" s="11"/>
      <c r="J22" s="11"/>
      <c r="K22" s="11"/>
      <c r="L22" s="11"/>
      <c r="M22" s="11"/>
    </row>
    <row r="23" spans="1:13" x14ac:dyDescent="0.25">
      <c r="A23" s="12" t="s">
        <v>37</v>
      </c>
      <c r="B23" s="12" t="s">
        <v>17</v>
      </c>
      <c r="C23" s="12" t="s">
        <v>39</v>
      </c>
      <c r="D23" s="24" t="s">
        <v>38</v>
      </c>
      <c r="E23" s="13"/>
      <c r="F23" s="13"/>
      <c r="G23" s="13"/>
      <c r="H23" s="13"/>
      <c r="I23" s="13"/>
      <c r="J23" s="13"/>
      <c r="K23" s="10">
        <f>K30</f>
        <v>1</v>
      </c>
      <c r="L23" s="10">
        <f>L30</f>
        <v>0</v>
      </c>
      <c r="M23" s="10">
        <f>M30</f>
        <v>0</v>
      </c>
    </row>
    <row r="24" spans="1:13" x14ac:dyDescent="0.25">
      <c r="A24" s="11"/>
      <c r="B24" s="11"/>
      <c r="C24" s="11"/>
      <c r="D24" s="14"/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25">
      <c r="A25" s="15" t="s">
        <v>40</v>
      </c>
      <c r="B25" s="15" t="s">
        <v>24</v>
      </c>
      <c r="C25" s="15" t="s">
        <v>18</v>
      </c>
      <c r="D25" s="25" t="s">
        <v>41</v>
      </c>
      <c r="E25" s="11"/>
      <c r="F25" s="11"/>
      <c r="G25" s="11"/>
      <c r="H25" s="11"/>
      <c r="I25" s="11"/>
      <c r="J25" s="11"/>
      <c r="K25" s="16">
        <f>K28</f>
        <v>1</v>
      </c>
      <c r="L25" s="16">
        <f>L28</f>
        <v>0</v>
      </c>
      <c r="M25" s="16">
        <f>M28</f>
        <v>0</v>
      </c>
    </row>
    <row r="26" spans="1:13" ht="45" x14ac:dyDescent="0.25">
      <c r="A26" s="11"/>
      <c r="B26" s="11"/>
      <c r="C26" s="11"/>
      <c r="D26" s="14" t="s">
        <v>42</v>
      </c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25">
      <c r="A27" s="11"/>
      <c r="B27" s="11"/>
      <c r="C27" s="11"/>
      <c r="D27" s="14"/>
      <c r="E27" s="15" t="s">
        <v>43</v>
      </c>
      <c r="F27" s="11">
        <v>1</v>
      </c>
      <c r="G27" s="17">
        <v>0</v>
      </c>
      <c r="H27" s="17">
        <v>0</v>
      </c>
      <c r="I27" s="17">
        <v>0</v>
      </c>
      <c r="J27" s="16">
        <f>F27*(G27+ (G27= 0))*(H27+ (H27= 0))*(I27+ (I27= 0))</f>
        <v>1</v>
      </c>
      <c r="K27" s="11"/>
      <c r="L27" s="11"/>
      <c r="M27" s="11"/>
    </row>
    <row r="28" spans="1:13" x14ac:dyDescent="0.25">
      <c r="A28" s="11"/>
      <c r="B28" s="11"/>
      <c r="C28" s="11"/>
      <c r="D28" s="14"/>
      <c r="E28" s="11"/>
      <c r="F28" s="11"/>
      <c r="G28" s="11"/>
      <c r="H28" s="11"/>
      <c r="I28" s="11"/>
      <c r="J28" s="18" t="s">
        <v>44</v>
      </c>
      <c r="K28" s="10">
        <f>SUM(J27:J27)</f>
        <v>1</v>
      </c>
      <c r="L28" s="17">
        <v>0</v>
      </c>
      <c r="M28" s="10">
        <f>ROUND(L28*K28,2)</f>
        <v>0</v>
      </c>
    </row>
    <row r="29" spans="1:13" x14ac:dyDescent="0.25">
      <c r="A29" s="19"/>
      <c r="B29" s="19"/>
      <c r="C29" s="19"/>
      <c r="D29" s="26"/>
      <c r="E29" s="19"/>
      <c r="F29" s="19"/>
      <c r="G29" s="19"/>
      <c r="H29" s="19"/>
      <c r="I29" s="19"/>
      <c r="J29" s="19"/>
      <c r="K29" s="19"/>
      <c r="L29" s="19"/>
      <c r="M29" s="19"/>
    </row>
    <row r="30" spans="1:13" x14ac:dyDescent="0.25">
      <c r="A30" s="11"/>
      <c r="B30" s="11"/>
      <c r="C30" s="11"/>
      <c r="D30" s="14"/>
      <c r="E30" s="11"/>
      <c r="F30" s="11"/>
      <c r="G30" s="11"/>
      <c r="H30" s="11"/>
      <c r="I30" s="11"/>
      <c r="J30" s="18" t="s">
        <v>45</v>
      </c>
      <c r="K30" s="17">
        <v>1</v>
      </c>
      <c r="L30" s="10">
        <f>M28</f>
        <v>0</v>
      </c>
      <c r="M30" s="10">
        <f>ROUND(L30*K30,2)</f>
        <v>0</v>
      </c>
    </row>
    <row r="31" spans="1:13" x14ac:dyDescent="0.25">
      <c r="A31" s="19"/>
      <c r="B31" s="19"/>
      <c r="C31" s="19"/>
      <c r="D31" s="26"/>
      <c r="E31" s="19"/>
      <c r="F31" s="19"/>
      <c r="G31" s="19"/>
      <c r="H31" s="19"/>
      <c r="I31" s="19"/>
      <c r="J31" s="19"/>
      <c r="K31" s="19"/>
      <c r="L31" s="19"/>
      <c r="M31" s="19"/>
    </row>
    <row r="32" spans="1:13" x14ac:dyDescent="0.25">
      <c r="A32" s="12" t="s">
        <v>46</v>
      </c>
      <c r="B32" s="12" t="s">
        <v>17</v>
      </c>
      <c r="C32" s="12" t="s">
        <v>39</v>
      </c>
      <c r="D32" s="24" t="s">
        <v>47</v>
      </c>
      <c r="E32" s="13"/>
      <c r="F32" s="13"/>
      <c r="G32" s="13"/>
      <c r="H32" s="13"/>
      <c r="I32" s="13"/>
      <c r="J32" s="13"/>
      <c r="K32" s="10">
        <f>K76</f>
        <v>1</v>
      </c>
      <c r="L32" s="10">
        <f>L76</f>
        <v>0</v>
      </c>
      <c r="M32" s="10">
        <f>M76</f>
        <v>0</v>
      </c>
    </row>
    <row r="33" spans="1:13" x14ac:dyDescent="0.25">
      <c r="A33" s="11"/>
      <c r="B33" s="11"/>
      <c r="C33" s="11"/>
      <c r="D33" s="14"/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25">
      <c r="A34" s="15" t="s">
        <v>48</v>
      </c>
      <c r="B34" s="15" t="s">
        <v>24</v>
      </c>
      <c r="C34" s="15" t="s">
        <v>18</v>
      </c>
      <c r="D34" s="25" t="s">
        <v>49</v>
      </c>
      <c r="E34" s="11"/>
      <c r="F34" s="11"/>
      <c r="G34" s="11"/>
      <c r="H34" s="11"/>
      <c r="I34" s="11"/>
      <c r="J34" s="11"/>
      <c r="K34" s="16">
        <f>K39</f>
        <v>423.70000000000005</v>
      </c>
      <c r="L34" s="16">
        <f>L39</f>
        <v>0</v>
      </c>
      <c r="M34" s="16">
        <f>M39</f>
        <v>0</v>
      </c>
    </row>
    <row r="35" spans="1:13" ht="22.5" x14ac:dyDescent="0.25">
      <c r="A35" s="11"/>
      <c r="B35" s="11"/>
      <c r="C35" s="11"/>
      <c r="D35" s="14" t="s">
        <v>50</v>
      </c>
      <c r="E35" s="11"/>
      <c r="F35" s="11"/>
      <c r="G35" s="11"/>
      <c r="H35" s="11"/>
      <c r="I35" s="11"/>
      <c r="J35" s="11"/>
      <c r="K35" s="11"/>
      <c r="L35" s="11"/>
      <c r="M35" s="11"/>
    </row>
    <row r="36" spans="1:13" x14ac:dyDescent="0.25">
      <c r="A36" s="11"/>
      <c r="B36" s="11"/>
      <c r="C36" s="11"/>
      <c r="D36" s="14"/>
      <c r="E36" s="15" t="s">
        <v>51</v>
      </c>
      <c r="F36" s="11">
        <v>1.05</v>
      </c>
      <c r="G36" s="17">
        <v>194</v>
      </c>
      <c r="H36" s="17">
        <v>0</v>
      </c>
      <c r="I36" s="17">
        <v>0</v>
      </c>
      <c r="J36" s="16">
        <f>F36*(G36+ (G36= 0))*(H36+ (H36= 0))*(I36+ (I36= 0))</f>
        <v>203.70000000000002</v>
      </c>
      <c r="K36" s="11"/>
      <c r="L36" s="11"/>
      <c r="M36" s="11"/>
    </row>
    <row r="37" spans="1:13" x14ac:dyDescent="0.25">
      <c r="A37" s="11"/>
      <c r="B37" s="11"/>
      <c r="C37" s="11"/>
      <c r="D37" s="14"/>
      <c r="E37" s="15" t="s">
        <v>52</v>
      </c>
      <c r="F37" s="11">
        <v>1</v>
      </c>
      <c r="G37" s="17">
        <v>2</v>
      </c>
      <c r="H37" s="17">
        <v>55</v>
      </c>
      <c r="I37" s="17">
        <v>0</v>
      </c>
      <c r="J37" s="16">
        <f>F37*(G37+ (G37= 0))*(H37+ (H37= 0))*(I37+ (I37= 0))</f>
        <v>110</v>
      </c>
      <c r="K37" s="11"/>
      <c r="L37" s="11"/>
      <c r="M37" s="11"/>
    </row>
    <row r="38" spans="1:13" x14ac:dyDescent="0.25">
      <c r="A38" s="11"/>
      <c r="B38" s="11"/>
      <c r="C38" s="11"/>
      <c r="D38" s="14"/>
      <c r="E38" s="15" t="s">
        <v>53</v>
      </c>
      <c r="F38" s="11">
        <v>2</v>
      </c>
      <c r="G38" s="17">
        <v>55</v>
      </c>
      <c r="H38" s="17">
        <v>0</v>
      </c>
      <c r="I38" s="17">
        <v>0</v>
      </c>
      <c r="J38" s="16">
        <f>F38*(G38+ (G38= 0))*(H38+ (H38= 0))*(I38+ (I38= 0))</f>
        <v>110</v>
      </c>
      <c r="K38" s="11"/>
      <c r="L38" s="11"/>
      <c r="M38" s="11"/>
    </row>
    <row r="39" spans="1:13" x14ac:dyDescent="0.25">
      <c r="A39" s="11"/>
      <c r="B39" s="11"/>
      <c r="C39" s="11"/>
      <c r="D39" s="14"/>
      <c r="E39" s="11"/>
      <c r="F39" s="11"/>
      <c r="G39" s="11"/>
      <c r="H39" s="11"/>
      <c r="I39" s="11"/>
      <c r="J39" s="18" t="s">
        <v>54</v>
      </c>
      <c r="K39" s="10">
        <f>SUM(J36:J38)</f>
        <v>423.70000000000005</v>
      </c>
      <c r="L39" s="17">
        <v>0</v>
      </c>
      <c r="M39" s="10">
        <f>ROUND(L39*K39,2)</f>
        <v>0</v>
      </c>
    </row>
    <row r="40" spans="1:13" x14ac:dyDescent="0.25">
      <c r="A40" s="19"/>
      <c r="B40" s="19"/>
      <c r="C40" s="19"/>
      <c r="D40" s="26"/>
      <c r="E40" s="19"/>
      <c r="F40" s="19"/>
      <c r="G40" s="19"/>
      <c r="H40" s="19"/>
      <c r="I40" s="19"/>
      <c r="J40" s="19"/>
      <c r="K40" s="19"/>
      <c r="L40" s="19"/>
      <c r="M40" s="19"/>
    </row>
    <row r="41" spans="1:13" x14ac:dyDescent="0.25">
      <c r="A41" s="15" t="s">
        <v>55</v>
      </c>
      <c r="B41" s="15" t="s">
        <v>24</v>
      </c>
      <c r="C41" s="15" t="s">
        <v>57</v>
      </c>
      <c r="D41" s="25" t="s">
        <v>56</v>
      </c>
      <c r="E41" s="11"/>
      <c r="F41" s="11"/>
      <c r="G41" s="11"/>
      <c r="H41" s="11"/>
      <c r="I41" s="11"/>
      <c r="J41" s="11"/>
      <c r="K41" s="16">
        <f>K44</f>
        <v>423.7</v>
      </c>
      <c r="L41" s="16">
        <f>L44</f>
        <v>0</v>
      </c>
      <c r="M41" s="16">
        <f>M44</f>
        <v>0</v>
      </c>
    </row>
    <row r="42" spans="1:13" ht="33.75" x14ac:dyDescent="0.25">
      <c r="A42" s="11"/>
      <c r="B42" s="11"/>
      <c r="C42" s="11"/>
      <c r="D42" s="14" t="s">
        <v>220</v>
      </c>
      <c r="E42" s="11"/>
      <c r="F42" s="11"/>
      <c r="G42" s="11"/>
      <c r="H42" s="11"/>
      <c r="I42" s="11"/>
      <c r="J42" s="11"/>
      <c r="K42" s="11"/>
      <c r="L42" s="11"/>
      <c r="M42" s="11"/>
    </row>
    <row r="43" spans="1:13" x14ac:dyDescent="0.25">
      <c r="A43" s="11"/>
      <c r="B43" s="11"/>
      <c r="C43" s="11"/>
      <c r="D43" s="14"/>
      <c r="E43" s="15" t="s">
        <v>39</v>
      </c>
      <c r="F43" s="11">
        <v>423.7</v>
      </c>
      <c r="G43" s="17">
        <v>0</v>
      </c>
      <c r="H43" s="17">
        <v>0</v>
      </c>
      <c r="I43" s="17">
        <v>0</v>
      </c>
      <c r="J43" s="16">
        <f>F43*(G43+ (G43= 0))*(H43+ (H43= 0))*(I43+ (I43= 0))</f>
        <v>423.7</v>
      </c>
      <c r="K43" s="11"/>
      <c r="L43" s="11"/>
      <c r="M43" s="11"/>
    </row>
    <row r="44" spans="1:13" x14ac:dyDescent="0.25">
      <c r="A44" s="11"/>
      <c r="B44" s="11"/>
      <c r="C44" s="11"/>
      <c r="D44" s="14"/>
      <c r="E44" s="11"/>
      <c r="F44" s="11"/>
      <c r="G44" s="11"/>
      <c r="H44" s="11"/>
      <c r="I44" s="11"/>
      <c r="J44" s="18" t="s">
        <v>59</v>
      </c>
      <c r="K44" s="10">
        <f>SUM(J43:J43)</f>
        <v>423.7</v>
      </c>
      <c r="L44" s="17">
        <v>0</v>
      </c>
      <c r="M44" s="10">
        <f>ROUND(L44*K44,2)</f>
        <v>0</v>
      </c>
    </row>
    <row r="45" spans="1:13" x14ac:dyDescent="0.25">
      <c r="A45" s="19"/>
      <c r="B45" s="19"/>
      <c r="C45" s="19"/>
      <c r="D45" s="26"/>
      <c r="E45" s="19"/>
      <c r="F45" s="19"/>
      <c r="G45" s="19"/>
      <c r="H45" s="19"/>
      <c r="I45" s="19"/>
      <c r="J45" s="19"/>
      <c r="K45" s="19"/>
      <c r="L45" s="19"/>
      <c r="M45" s="19"/>
    </row>
    <row r="46" spans="1:13" x14ac:dyDescent="0.25">
      <c r="A46" s="15" t="s">
        <v>60</v>
      </c>
      <c r="B46" s="15" t="s">
        <v>24</v>
      </c>
      <c r="C46" s="15" t="s">
        <v>18</v>
      </c>
      <c r="D46" s="25" t="s">
        <v>61</v>
      </c>
      <c r="E46" s="11"/>
      <c r="F46" s="11"/>
      <c r="G46" s="11"/>
      <c r="H46" s="11"/>
      <c r="I46" s="11"/>
      <c r="J46" s="11"/>
      <c r="K46" s="16">
        <f>K50</f>
        <v>2</v>
      </c>
      <c r="L46" s="16">
        <f>L50</f>
        <v>0</v>
      </c>
      <c r="M46" s="16">
        <f>M50</f>
        <v>0</v>
      </c>
    </row>
    <row r="47" spans="1:13" ht="45" x14ac:dyDescent="0.25">
      <c r="A47" s="11"/>
      <c r="B47" s="11"/>
      <c r="C47" s="11"/>
      <c r="D47" s="14" t="s">
        <v>62</v>
      </c>
      <c r="E47" s="11"/>
      <c r="F47" s="11"/>
      <c r="G47" s="11"/>
      <c r="H47" s="11"/>
      <c r="I47" s="11"/>
      <c r="J47" s="11"/>
      <c r="K47" s="11"/>
      <c r="L47" s="11"/>
      <c r="M47" s="11"/>
    </row>
    <row r="48" spans="1:13" x14ac:dyDescent="0.25">
      <c r="A48" s="11"/>
      <c r="B48" s="11"/>
      <c r="C48" s="11"/>
      <c r="D48" s="14"/>
      <c r="E48" s="15" t="s">
        <v>26</v>
      </c>
      <c r="F48" s="11">
        <v>1</v>
      </c>
      <c r="G48" s="17">
        <v>0</v>
      </c>
      <c r="H48" s="17">
        <v>0</v>
      </c>
      <c r="I48" s="17">
        <v>0</v>
      </c>
      <c r="J48" s="16">
        <f>F48*(G48+ (G48= 0))*(H48+ (H48= 0))*(I48+ (I48= 0))</f>
        <v>1</v>
      </c>
      <c r="K48" s="11"/>
      <c r="L48" s="11"/>
      <c r="M48" s="11"/>
    </row>
    <row r="49" spans="1:13" x14ac:dyDescent="0.25">
      <c r="A49" s="11"/>
      <c r="B49" s="11"/>
      <c r="C49" s="11"/>
      <c r="D49" s="14"/>
      <c r="E49" s="15" t="s">
        <v>27</v>
      </c>
      <c r="F49" s="11">
        <v>1</v>
      </c>
      <c r="G49" s="17">
        <v>0</v>
      </c>
      <c r="H49" s="17">
        <v>0</v>
      </c>
      <c r="I49" s="17">
        <v>0</v>
      </c>
      <c r="J49" s="16">
        <f>F49*(G49+ (G49= 0))*(H49+ (H49= 0))*(I49+ (I49= 0))</f>
        <v>1</v>
      </c>
      <c r="K49" s="11"/>
      <c r="L49" s="11"/>
      <c r="M49" s="11"/>
    </row>
    <row r="50" spans="1:13" x14ac:dyDescent="0.25">
      <c r="A50" s="11"/>
      <c r="B50" s="11"/>
      <c r="C50" s="11"/>
      <c r="D50" s="14"/>
      <c r="E50" s="11"/>
      <c r="F50" s="11"/>
      <c r="G50" s="11"/>
      <c r="H50" s="11"/>
      <c r="I50" s="11"/>
      <c r="J50" s="18" t="s">
        <v>63</v>
      </c>
      <c r="K50" s="10">
        <f>SUM(J48:J49)</f>
        <v>2</v>
      </c>
      <c r="L50" s="17">
        <v>0</v>
      </c>
      <c r="M50" s="10">
        <f>ROUND(L50*K50,2)</f>
        <v>0</v>
      </c>
    </row>
    <row r="51" spans="1:13" x14ac:dyDescent="0.25">
      <c r="A51" s="19"/>
      <c r="B51" s="19"/>
      <c r="C51" s="19"/>
      <c r="D51" s="26"/>
      <c r="E51" s="19"/>
      <c r="F51" s="19"/>
      <c r="G51" s="19"/>
      <c r="H51" s="19"/>
      <c r="I51" s="19"/>
      <c r="J51" s="19"/>
      <c r="K51" s="19"/>
      <c r="L51" s="19"/>
      <c r="M51" s="19"/>
    </row>
    <row r="52" spans="1:13" x14ac:dyDescent="0.25">
      <c r="A52" s="15" t="s">
        <v>64</v>
      </c>
      <c r="B52" s="15" t="s">
        <v>24</v>
      </c>
      <c r="C52" s="15" t="s">
        <v>18</v>
      </c>
      <c r="D52" s="25" t="s">
        <v>65</v>
      </c>
      <c r="E52" s="11"/>
      <c r="F52" s="11"/>
      <c r="G52" s="11"/>
      <c r="H52" s="11"/>
      <c r="I52" s="11"/>
      <c r="J52" s="11"/>
      <c r="K52" s="16">
        <f>K56</f>
        <v>2</v>
      </c>
      <c r="L52" s="16">
        <f>L56</f>
        <v>0</v>
      </c>
      <c r="M52" s="16">
        <f>M56</f>
        <v>0</v>
      </c>
    </row>
    <row r="53" spans="1:13" ht="33.75" x14ac:dyDescent="0.25">
      <c r="A53" s="11"/>
      <c r="B53" s="11"/>
      <c r="C53" s="11"/>
      <c r="D53" s="14" t="s">
        <v>221</v>
      </c>
      <c r="E53" s="11"/>
      <c r="F53" s="11"/>
      <c r="G53" s="11"/>
      <c r="H53" s="11"/>
      <c r="I53" s="11"/>
      <c r="J53" s="11"/>
      <c r="K53" s="11"/>
      <c r="L53" s="11"/>
      <c r="M53" s="11"/>
    </row>
    <row r="54" spans="1:13" x14ac:dyDescent="0.25">
      <c r="A54" s="11"/>
      <c r="B54" s="11"/>
      <c r="C54" s="11"/>
      <c r="D54" s="14"/>
      <c r="E54" s="15" t="s">
        <v>26</v>
      </c>
      <c r="F54" s="11">
        <v>1</v>
      </c>
      <c r="G54" s="17">
        <v>0</v>
      </c>
      <c r="H54" s="17">
        <v>0</v>
      </c>
      <c r="I54" s="17">
        <v>0</v>
      </c>
      <c r="J54" s="16">
        <f>F54*(G54+ (G54= 0))*(H54+ (H54= 0))*(I54+ (I54= 0))</f>
        <v>1</v>
      </c>
      <c r="K54" s="11"/>
      <c r="L54" s="11"/>
      <c r="M54" s="11"/>
    </row>
    <row r="55" spans="1:13" x14ac:dyDescent="0.25">
      <c r="A55" s="11"/>
      <c r="B55" s="11"/>
      <c r="C55" s="11"/>
      <c r="D55" s="14"/>
      <c r="E55" s="15" t="s">
        <v>27</v>
      </c>
      <c r="F55" s="11">
        <v>1</v>
      </c>
      <c r="G55" s="17">
        <v>0</v>
      </c>
      <c r="H55" s="17">
        <v>0</v>
      </c>
      <c r="I55" s="17">
        <v>0</v>
      </c>
      <c r="J55" s="16">
        <f>F55*(G55+ (G55= 0))*(H55+ (H55= 0))*(I55+ (I55= 0))</f>
        <v>1</v>
      </c>
      <c r="K55" s="11"/>
      <c r="L55" s="11"/>
      <c r="M55" s="11"/>
    </row>
    <row r="56" spans="1:13" x14ac:dyDescent="0.25">
      <c r="A56" s="11"/>
      <c r="B56" s="11"/>
      <c r="C56" s="11"/>
      <c r="D56" s="14"/>
      <c r="E56" s="11"/>
      <c r="F56" s="11"/>
      <c r="G56" s="11"/>
      <c r="H56" s="11"/>
      <c r="I56" s="11"/>
      <c r="J56" s="18" t="s">
        <v>66</v>
      </c>
      <c r="K56" s="10">
        <f>SUM(J54:J55)</f>
        <v>2</v>
      </c>
      <c r="L56" s="17">
        <v>0</v>
      </c>
      <c r="M56" s="10">
        <f>ROUND(L56*K56,2)</f>
        <v>0</v>
      </c>
    </row>
    <row r="57" spans="1:13" x14ac:dyDescent="0.25">
      <c r="A57" s="19"/>
      <c r="B57" s="19"/>
      <c r="C57" s="19"/>
      <c r="D57" s="26"/>
      <c r="E57" s="19"/>
      <c r="F57" s="19"/>
      <c r="G57" s="19"/>
      <c r="H57" s="19"/>
      <c r="I57" s="19"/>
      <c r="J57" s="19"/>
      <c r="K57" s="19"/>
      <c r="L57" s="19"/>
      <c r="M57" s="19"/>
    </row>
    <row r="58" spans="1:13" x14ac:dyDescent="0.25">
      <c r="A58" s="15" t="s">
        <v>67</v>
      </c>
      <c r="B58" s="15" t="s">
        <v>24</v>
      </c>
      <c r="C58" s="15" t="s">
        <v>18</v>
      </c>
      <c r="D58" s="25" t="s">
        <v>68</v>
      </c>
      <c r="E58" s="11"/>
      <c r="F58" s="11"/>
      <c r="G58" s="11"/>
      <c r="H58" s="11"/>
      <c r="I58" s="11"/>
      <c r="J58" s="11"/>
      <c r="K58" s="16">
        <f>K62</f>
        <v>2</v>
      </c>
      <c r="L58" s="16">
        <f>L62</f>
        <v>0</v>
      </c>
      <c r="M58" s="16">
        <f>M62</f>
        <v>0</v>
      </c>
    </row>
    <row r="59" spans="1:13" ht="33.75" x14ac:dyDescent="0.25">
      <c r="A59" s="11"/>
      <c r="B59" s="11"/>
      <c r="C59" s="11"/>
      <c r="D59" s="14" t="s">
        <v>222</v>
      </c>
      <c r="E59" s="11"/>
      <c r="F59" s="11"/>
      <c r="G59" s="11"/>
      <c r="H59" s="11"/>
      <c r="I59" s="11"/>
      <c r="J59" s="11"/>
      <c r="K59" s="11"/>
      <c r="L59" s="11"/>
      <c r="M59" s="11"/>
    </row>
    <row r="60" spans="1:13" x14ac:dyDescent="0.25">
      <c r="A60" s="11"/>
      <c r="B60" s="11"/>
      <c r="C60" s="11"/>
      <c r="D60" s="14"/>
      <c r="E60" s="15" t="s">
        <v>26</v>
      </c>
      <c r="F60" s="11">
        <v>1</v>
      </c>
      <c r="G60" s="17">
        <v>0</v>
      </c>
      <c r="H60" s="17">
        <v>0</v>
      </c>
      <c r="I60" s="17">
        <v>0</v>
      </c>
      <c r="J60" s="16">
        <f>F60*(G60+ (G60= 0))*(H60+ (H60= 0))*(I60+ (I60= 0))</f>
        <v>1</v>
      </c>
      <c r="K60" s="11"/>
      <c r="L60" s="11"/>
      <c r="M60" s="11"/>
    </row>
    <row r="61" spans="1:13" x14ac:dyDescent="0.25">
      <c r="A61" s="11"/>
      <c r="B61" s="11"/>
      <c r="C61" s="11"/>
      <c r="D61" s="14"/>
      <c r="E61" s="15" t="s">
        <v>27</v>
      </c>
      <c r="F61" s="11">
        <v>1</v>
      </c>
      <c r="G61" s="17">
        <v>0</v>
      </c>
      <c r="H61" s="17">
        <v>0</v>
      </c>
      <c r="I61" s="17">
        <v>0</v>
      </c>
      <c r="J61" s="16">
        <f>F61*(G61+ (G61= 0))*(H61+ (H61= 0))*(I61+ (I61= 0))</f>
        <v>1</v>
      </c>
      <c r="K61" s="11"/>
      <c r="L61" s="11"/>
      <c r="M61" s="11"/>
    </row>
    <row r="62" spans="1:13" x14ac:dyDescent="0.25">
      <c r="A62" s="11"/>
      <c r="B62" s="11"/>
      <c r="C62" s="11"/>
      <c r="D62" s="14"/>
      <c r="E62" s="11"/>
      <c r="F62" s="11"/>
      <c r="G62" s="11"/>
      <c r="H62" s="11"/>
      <c r="I62" s="11"/>
      <c r="J62" s="18" t="s">
        <v>69</v>
      </c>
      <c r="K62" s="10">
        <f>SUM(J60:J61)</f>
        <v>2</v>
      </c>
      <c r="L62" s="17">
        <v>0</v>
      </c>
      <c r="M62" s="10">
        <f>ROUND(L62*K62,2)</f>
        <v>0</v>
      </c>
    </row>
    <row r="63" spans="1:13" x14ac:dyDescent="0.25">
      <c r="A63" s="19"/>
      <c r="B63" s="19"/>
      <c r="C63" s="19"/>
      <c r="D63" s="26"/>
      <c r="E63" s="19"/>
      <c r="F63" s="19"/>
      <c r="G63" s="19"/>
      <c r="H63" s="19"/>
      <c r="I63" s="19"/>
      <c r="J63" s="19"/>
      <c r="K63" s="19"/>
      <c r="L63" s="19"/>
      <c r="M63" s="19"/>
    </row>
    <row r="64" spans="1:13" x14ac:dyDescent="0.25">
      <c r="A64" s="15" t="s">
        <v>70</v>
      </c>
      <c r="B64" s="15" t="s">
        <v>24</v>
      </c>
      <c r="C64" s="15" t="s">
        <v>18</v>
      </c>
      <c r="D64" s="25" t="s">
        <v>71</v>
      </c>
      <c r="E64" s="11"/>
      <c r="F64" s="11"/>
      <c r="G64" s="11"/>
      <c r="H64" s="11"/>
      <c r="I64" s="11"/>
      <c r="J64" s="11"/>
      <c r="K64" s="16">
        <f>K68</f>
        <v>2</v>
      </c>
      <c r="L64" s="16">
        <f>L68</f>
        <v>0</v>
      </c>
      <c r="M64" s="16">
        <f>M68</f>
        <v>0</v>
      </c>
    </row>
    <row r="65" spans="1:13" ht="22.5" x14ac:dyDescent="0.25">
      <c r="A65" s="11"/>
      <c r="B65" s="11"/>
      <c r="C65" s="11"/>
      <c r="D65" s="14" t="s">
        <v>223</v>
      </c>
      <c r="E65" s="11"/>
      <c r="F65" s="11"/>
      <c r="G65" s="11"/>
      <c r="H65" s="11"/>
      <c r="I65" s="11"/>
      <c r="J65" s="11"/>
      <c r="K65" s="11"/>
      <c r="L65" s="11"/>
      <c r="M65" s="11"/>
    </row>
    <row r="66" spans="1:13" x14ac:dyDescent="0.25">
      <c r="A66" s="11"/>
      <c r="B66" s="11"/>
      <c r="C66" s="11"/>
      <c r="D66" s="14"/>
      <c r="E66" s="15" t="s">
        <v>26</v>
      </c>
      <c r="F66" s="11">
        <v>1</v>
      </c>
      <c r="G66" s="17">
        <v>0</v>
      </c>
      <c r="H66" s="17">
        <v>0</v>
      </c>
      <c r="I66" s="17">
        <v>0</v>
      </c>
      <c r="J66" s="16">
        <f>F66*(G66+ (G66= 0))*(H66+ (H66= 0))*(I66+ (I66= 0))</f>
        <v>1</v>
      </c>
      <c r="K66" s="11"/>
      <c r="L66" s="11"/>
      <c r="M66" s="11"/>
    </row>
    <row r="67" spans="1:13" x14ac:dyDescent="0.25">
      <c r="A67" s="11"/>
      <c r="B67" s="11"/>
      <c r="C67" s="11"/>
      <c r="D67" s="14"/>
      <c r="E67" s="15" t="s">
        <v>27</v>
      </c>
      <c r="F67" s="11">
        <v>1</v>
      </c>
      <c r="G67" s="17">
        <v>0</v>
      </c>
      <c r="H67" s="17">
        <v>0</v>
      </c>
      <c r="I67" s="17">
        <v>0</v>
      </c>
      <c r="J67" s="16">
        <f>F67*(G67+ (G67= 0))*(H67+ (H67= 0))*(I67+ (I67= 0))</f>
        <v>1</v>
      </c>
      <c r="K67" s="11"/>
      <c r="L67" s="11"/>
      <c r="M67" s="11"/>
    </row>
    <row r="68" spans="1:13" x14ac:dyDescent="0.25">
      <c r="A68" s="11"/>
      <c r="B68" s="11"/>
      <c r="C68" s="11"/>
      <c r="D68" s="14"/>
      <c r="E68" s="11"/>
      <c r="F68" s="11"/>
      <c r="G68" s="11"/>
      <c r="H68" s="11"/>
      <c r="I68" s="11"/>
      <c r="J68" s="18" t="s">
        <v>72</v>
      </c>
      <c r="K68" s="10">
        <f>SUM(J66:J67)</f>
        <v>2</v>
      </c>
      <c r="L68" s="17">
        <v>0</v>
      </c>
      <c r="M68" s="10">
        <f>ROUND(L68*K68,2)</f>
        <v>0</v>
      </c>
    </row>
    <row r="69" spans="1:13" x14ac:dyDescent="0.25">
      <c r="A69" s="19"/>
      <c r="B69" s="19"/>
      <c r="C69" s="19"/>
      <c r="D69" s="26"/>
      <c r="E69" s="19"/>
      <c r="F69" s="19"/>
      <c r="G69" s="19"/>
      <c r="H69" s="19"/>
      <c r="I69" s="19"/>
      <c r="J69" s="19"/>
      <c r="K69" s="19"/>
      <c r="L69" s="19"/>
      <c r="M69" s="19"/>
    </row>
    <row r="70" spans="1:13" x14ac:dyDescent="0.25">
      <c r="A70" s="15" t="s">
        <v>73</v>
      </c>
      <c r="B70" s="15" t="s">
        <v>24</v>
      </c>
      <c r="C70" s="15" t="s">
        <v>18</v>
      </c>
      <c r="D70" s="25" t="s">
        <v>74</v>
      </c>
      <c r="E70" s="11"/>
      <c r="F70" s="11"/>
      <c r="G70" s="11"/>
      <c r="H70" s="11"/>
      <c r="I70" s="11"/>
      <c r="J70" s="11"/>
      <c r="K70" s="16">
        <f>K74</f>
        <v>3</v>
      </c>
      <c r="L70" s="16">
        <f>L74</f>
        <v>0</v>
      </c>
      <c r="M70" s="16">
        <f>M74</f>
        <v>0</v>
      </c>
    </row>
    <row r="71" spans="1:13" ht="56.25" x14ac:dyDescent="0.25">
      <c r="A71" s="11"/>
      <c r="B71" s="11"/>
      <c r="C71" s="11"/>
      <c r="D71" s="14" t="s">
        <v>75</v>
      </c>
      <c r="E71" s="11"/>
      <c r="F71" s="11"/>
      <c r="G71" s="11"/>
      <c r="H71" s="11"/>
      <c r="I71" s="11"/>
      <c r="J71" s="11"/>
      <c r="K71" s="11"/>
      <c r="L71" s="11"/>
      <c r="M71" s="11"/>
    </row>
    <row r="72" spans="1:13" x14ac:dyDescent="0.25">
      <c r="A72" s="11"/>
      <c r="B72" s="11"/>
      <c r="C72" s="11"/>
      <c r="D72" s="14"/>
      <c r="E72" s="15" t="s">
        <v>76</v>
      </c>
      <c r="F72" s="11">
        <v>2</v>
      </c>
      <c r="G72" s="17">
        <v>0</v>
      </c>
      <c r="H72" s="17">
        <v>0</v>
      </c>
      <c r="I72" s="17">
        <v>0</v>
      </c>
      <c r="J72" s="16">
        <f>F72*(G72+ (G72= 0))*(H72+ (H72= 0))*(I72+ (I72= 0))</f>
        <v>2</v>
      </c>
      <c r="K72" s="11"/>
      <c r="L72" s="11"/>
      <c r="M72" s="11"/>
    </row>
    <row r="73" spans="1:13" x14ac:dyDescent="0.25">
      <c r="A73" s="11"/>
      <c r="B73" s="11"/>
      <c r="C73" s="11"/>
      <c r="D73" s="14"/>
      <c r="E73" s="15" t="s">
        <v>77</v>
      </c>
      <c r="F73" s="11">
        <v>1</v>
      </c>
      <c r="G73" s="17">
        <v>0</v>
      </c>
      <c r="H73" s="17">
        <v>0</v>
      </c>
      <c r="I73" s="17">
        <v>0</v>
      </c>
      <c r="J73" s="16">
        <f>F73*(G73+ (G73= 0))*(H73+ (H73= 0))*(I73+ (I73= 0))</f>
        <v>1</v>
      </c>
      <c r="K73" s="11"/>
      <c r="L73" s="11"/>
      <c r="M73" s="11"/>
    </row>
    <row r="74" spans="1:13" x14ac:dyDescent="0.25">
      <c r="A74" s="11"/>
      <c r="B74" s="11"/>
      <c r="C74" s="11"/>
      <c r="D74" s="14"/>
      <c r="E74" s="11"/>
      <c r="F74" s="11"/>
      <c r="G74" s="11"/>
      <c r="H74" s="11"/>
      <c r="I74" s="11"/>
      <c r="J74" s="18" t="s">
        <v>78</v>
      </c>
      <c r="K74" s="10">
        <f>SUM(J72:J73)</f>
        <v>3</v>
      </c>
      <c r="L74" s="17">
        <v>0</v>
      </c>
      <c r="M74" s="10">
        <f>ROUND(L74*K74,2)</f>
        <v>0</v>
      </c>
    </row>
    <row r="75" spans="1:13" x14ac:dyDescent="0.25">
      <c r="A75" s="19"/>
      <c r="B75" s="19"/>
      <c r="C75" s="19"/>
      <c r="D75" s="26"/>
      <c r="E75" s="19"/>
      <c r="F75" s="19"/>
      <c r="G75" s="19"/>
      <c r="H75" s="19"/>
      <c r="I75" s="19"/>
      <c r="J75" s="19"/>
      <c r="K75" s="19"/>
      <c r="L75" s="19"/>
      <c r="M75" s="19"/>
    </row>
    <row r="76" spans="1:13" x14ac:dyDescent="0.25">
      <c r="A76" s="11"/>
      <c r="B76" s="11"/>
      <c r="C76" s="11"/>
      <c r="D76" s="14"/>
      <c r="E76" s="11"/>
      <c r="F76" s="11"/>
      <c r="G76" s="11"/>
      <c r="H76" s="11"/>
      <c r="I76" s="11"/>
      <c r="J76" s="18" t="s">
        <v>79</v>
      </c>
      <c r="K76" s="17">
        <v>1</v>
      </c>
      <c r="L76" s="10">
        <f>M39+M44+M50+M56+M62+M68+M74</f>
        <v>0</v>
      </c>
      <c r="M76" s="10">
        <f>ROUND(L76*K76,2)</f>
        <v>0</v>
      </c>
    </row>
    <row r="77" spans="1:13" x14ac:dyDescent="0.25">
      <c r="A77" s="19"/>
      <c r="B77" s="19"/>
      <c r="C77" s="19"/>
      <c r="D77" s="26"/>
      <c r="E77" s="19"/>
      <c r="F77" s="19"/>
      <c r="G77" s="19"/>
      <c r="H77" s="19"/>
      <c r="I77" s="19"/>
      <c r="J77" s="19"/>
      <c r="K77" s="19"/>
      <c r="L77" s="19"/>
      <c r="M77" s="19"/>
    </row>
    <row r="78" spans="1:13" x14ac:dyDescent="0.25">
      <c r="A78" s="11"/>
      <c r="B78" s="11"/>
      <c r="C78" s="11"/>
      <c r="D78" s="14"/>
      <c r="E78" s="11"/>
      <c r="F78" s="11"/>
      <c r="G78" s="11"/>
      <c r="H78" s="11"/>
      <c r="I78" s="11"/>
      <c r="J78" s="18" t="s">
        <v>80</v>
      </c>
      <c r="K78" s="17">
        <v>1</v>
      </c>
      <c r="L78" s="10">
        <f>M30+M76</f>
        <v>0</v>
      </c>
      <c r="M78" s="10">
        <f>ROUND(L78*K78,2)</f>
        <v>0</v>
      </c>
    </row>
    <row r="79" spans="1:13" x14ac:dyDescent="0.25">
      <c r="A79" s="19"/>
      <c r="B79" s="19"/>
      <c r="C79" s="19"/>
      <c r="D79" s="26"/>
      <c r="E79" s="19"/>
      <c r="F79" s="19"/>
      <c r="G79" s="19"/>
      <c r="H79" s="19"/>
      <c r="I79" s="19"/>
      <c r="J79" s="19"/>
      <c r="K79" s="19"/>
      <c r="L79" s="19"/>
      <c r="M79" s="19"/>
    </row>
    <row r="80" spans="1:13" x14ac:dyDescent="0.25">
      <c r="A80" s="12" t="s">
        <v>81</v>
      </c>
      <c r="B80" s="12" t="s">
        <v>17</v>
      </c>
      <c r="C80" s="12" t="s">
        <v>18</v>
      </c>
      <c r="D80" s="24" t="s">
        <v>82</v>
      </c>
      <c r="E80" s="13"/>
      <c r="F80" s="13"/>
      <c r="G80" s="13"/>
      <c r="H80" s="13"/>
      <c r="I80" s="13"/>
      <c r="J80" s="13"/>
      <c r="K80" s="10">
        <f>K87</f>
        <v>1</v>
      </c>
      <c r="L80" s="10">
        <f>L87</f>
        <v>0</v>
      </c>
      <c r="M80" s="10">
        <f>M87</f>
        <v>0</v>
      </c>
    </row>
    <row r="81" spans="1:13" ht="22.5" x14ac:dyDescent="0.25">
      <c r="A81" s="11"/>
      <c r="B81" s="11"/>
      <c r="C81" s="11"/>
      <c r="D81" s="14" t="s">
        <v>83</v>
      </c>
      <c r="E81" s="11"/>
      <c r="F81" s="11"/>
      <c r="G81" s="11"/>
      <c r="H81" s="11"/>
      <c r="I81" s="11"/>
      <c r="J81" s="11"/>
      <c r="K81" s="11"/>
      <c r="L81" s="11"/>
      <c r="M81" s="11"/>
    </row>
    <row r="82" spans="1:13" x14ac:dyDescent="0.25">
      <c r="A82" s="15" t="s">
        <v>55</v>
      </c>
      <c r="B82" s="15" t="s">
        <v>24</v>
      </c>
      <c r="C82" s="15" t="s">
        <v>57</v>
      </c>
      <c r="D82" s="25" t="s">
        <v>56</v>
      </c>
      <c r="E82" s="11"/>
      <c r="F82" s="11"/>
      <c r="G82" s="11"/>
      <c r="H82" s="11"/>
      <c r="I82" s="11"/>
      <c r="J82" s="11"/>
      <c r="K82" s="16">
        <f>K85</f>
        <v>240</v>
      </c>
      <c r="L82" s="16">
        <f>L85</f>
        <v>0</v>
      </c>
      <c r="M82" s="16">
        <f>M85</f>
        <v>0</v>
      </c>
    </row>
    <row r="83" spans="1:13" ht="33.75" x14ac:dyDescent="0.25">
      <c r="A83" s="11"/>
      <c r="B83" s="11"/>
      <c r="C83" s="11"/>
      <c r="D83" s="14" t="s">
        <v>220</v>
      </c>
      <c r="E83" s="11"/>
      <c r="F83" s="11"/>
      <c r="G83" s="11"/>
      <c r="H83" s="11"/>
      <c r="I83" s="11"/>
      <c r="J83" s="11"/>
      <c r="K83" s="11"/>
      <c r="L83" s="11"/>
      <c r="M83" s="11"/>
    </row>
    <row r="84" spans="1:13" x14ac:dyDescent="0.25">
      <c r="A84" s="11"/>
      <c r="B84" s="11"/>
      <c r="C84" s="11"/>
      <c r="D84" s="14"/>
      <c r="E84" s="15" t="s">
        <v>84</v>
      </c>
      <c r="F84" s="11">
        <v>4</v>
      </c>
      <c r="G84" s="17">
        <v>60</v>
      </c>
      <c r="H84" s="17">
        <v>0</v>
      </c>
      <c r="I84" s="17">
        <v>0</v>
      </c>
      <c r="J84" s="16">
        <f>F84*(G84+ (G84= 0))*(H84+ (H84= 0))*(I84+ (I84= 0))</f>
        <v>240</v>
      </c>
      <c r="K84" s="11"/>
      <c r="L84" s="11"/>
      <c r="M84" s="11"/>
    </row>
    <row r="85" spans="1:13" x14ac:dyDescent="0.25">
      <c r="A85" s="11"/>
      <c r="B85" s="11"/>
      <c r="C85" s="11"/>
      <c r="D85" s="14"/>
      <c r="E85" s="11"/>
      <c r="F85" s="11"/>
      <c r="G85" s="11"/>
      <c r="H85" s="11"/>
      <c r="I85" s="11"/>
      <c r="J85" s="18" t="s">
        <v>59</v>
      </c>
      <c r="K85" s="10">
        <f>SUM(J84:J84)</f>
        <v>240</v>
      </c>
      <c r="L85" s="17">
        <v>0</v>
      </c>
      <c r="M85" s="10">
        <f>ROUND(L85*K85,2)</f>
        <v>0</v>
      </c>
    </row>
    <row r="86" spans="1:13" x14ac:dyDescent="0.25">
      <c r="A86" s="19"/>
      <c r="B86" s="19"/>
      <c r="C86" s="19"/>
      <c r="D86" s="26"/>
      <c r="E86" s="19"/>
      <c r="F86" s="19"/>
      <c r="G86" s="19"/>
      <c r="H86" s="19"/>
      <c r="I86" s="19"/>
      <c r="J86" s="19"/>
      <c r="K86" s="19"/>
      <c r="L86" s="19"/>
      <c r="M86" s="19"/>
    </row>
    <row r="87" spans="1:13" x14ac:dyDescent="0.25">
      <c r="A87" s="11"/>
      <c r="B87" s="11"/>
      <c r="C87" s="11"/>
      <c r="D87" s="14"/>
      <c r="E87" s="11"/>
      <c r="F87" s="11"/>
      <c r="G87" s="11"/>
      <c r="H87" s="11"/>
      <c r="I87" s="11"/>
      <c r="J87" s="18" t="s">
        <v>85</v>
      </c>
      <c r="K87" s="17">
        <v>1</v>
      </c>
      <c r="L87" s="10">
        <f>M85</f>
        <v>0</v>
      </c>
      <c r="M87" s="10">
        <f>ROUND(L87*K87,2)</f>
        <v>0</v>
      </c>
    </row>
    <row r="88" spans="1:13" x14ac:dyDescent="0.25">
      <c r="A88" s="19"/>
      <c r="B88" s="19"/>
      <c r="C88" s="19"/>
      <c r="D88" s="26"/>
      <c r="E88" s="19"/>
      <c r="F88" s="19"/>
      <c r="G88" s="19"/>
      <c r="H88" s="19"/>
      <c r="I88" s="19"/>
      <c r="J88" s="19"/>
      <c r="K88" s="19"/>
      <c r="L88" s="19"/>
      <c r="M88" s="19"/>
    </row>
    <row r="89" spans="1:13" x14ac:dyDescent="0.25">
      <c r="A89" s="12" t="s">
        <v>86</v>
      </c>
      <c r="B89" s="12" t="s">
        <v>17</v>
      </c>
      <c r="C89" s="12" t="s">
        <v>18</v>
      </c>
      <c r="D89" s="24" t="s">
        <v>87</v>
      </c>
      <c r="E89" s="13"/>
      <c r="F89" s="13"/>
      <c r="G89" s="13"/>
      <c r="H89" s="13"/>
      <c r="I89" s="13"/>
      <c r="J89" s="13"/>
      <c r="K89" s="10">
        <f>K257</f>
        <v>1</v>
      </c>
      <c r="L89" s="10">
        <f>L257</f>
        <v>0</v>
      </c>
      <c r="M89" s="10">
        <f>M257</f>
        <v>0</v>
      </c>
    </row>
    <row r="90" spans="1:13" ht="56.25" x14ac:dyDescent="0.25">
      <c r="A90" s="11"/>
      <c r="B90" s="11"/>
      <c r="C90" s="11"/>
      <c r="D90" s="14" t="s">
        <v>88</v>
      </c>
      <c r="E90" s="11"/>
      <c r="F90" s="11"/>
      <c r="G90" s="11"/>
      <c r="H90" s="11"/>
      <c r="I90" s="11"/>
      <c r="J90" s="11"/>
      <c r="K90" s="11"/>
      <c r="L90" s="11"/>
      <c r="M90" s="11"/>
    </row>
    <row r="91" spans="1:13" x14ac:dyDescent="0.25">
      <c r="A91" s="12" t="s">
        <v>89</v>
      </c>
      <c r="B91" s="12" t="s">
        <v>17</v>
      </c>
      <c r="C91" s="12" t="s">
        <v>18</v>
      </c>
      <c r="D91" s="24" t="s">
        <v>90</v>
      </c>
      <c r="E91" s="13"/>
      <c r="F91" s="13"/>
      <c r="G91" s="13"/>
      <c r="H91" s="13"/>
      <c r="I91" s="13"/>
      <c r="J91" s="13"/>
      <c r="K91" s="10">
        <f>K108</f>
        <v>1</v>
      </c>
      <c r="L91" s="10">
        <f>L108</f>
        <v>0</v>
      </c>
      <c r="M91" s="10">
        <f>M108</f>
        <v>0</v>
      </c>
    </row>
    <row r="92" spans="1:13" ht="33.75" x14ac:dyDescent="0.25">
      <c r="A92" s="11"/>
      <c r="B92" s="11"/>
      <c r="C92" s="11"/>
      <c r="D92" s="14" t="s">
        <v>91</v>
      </c>
      <c r="E92" s="11"/>
      <c r="F92" s="11"/>
      <c r="G92" s="11"/>
      <c r="H92" s="11"/>
      <c r="I92" s="11"/>
      <c r="J92" s="11"/>
      <c r="K92" s="11"/>
      <c r="L92" s="11"/>
      <c r="M92" s="11"/>
    </row>
    <row r="93" spans="1:13" x14ac:dyDescent="0.25">
      <c r="A93" s="15" t="s">
        <v>92</v>
      </c>
      <c r="B93" s="15" t="s">
        <v>24</v>
      </c>
      <c r="C93" s="15" t="s">
        <v>94</v>
      </c>
      <c r="D93" s="25" t="s">
        <v>93</v>
      </c>
      <c r="E93" s="11"/>
      <c r="F93" s="11"/>
      <c r="G93" s="11"/>
      <c r="H93" s="11"/>
      <c r="I93" s="11"/>
      <c r="J93" s="11"/>
      <c r="K93" s="16">
        <f>K96</f>
        <v>145</v>
      </c>
      <c r="L93" s="16">
        <f>L96</f>
        <v>0</v>
      </c>
      <c r="M93" s="16">
        <f>M96</f>
        <v>0</v>
      </c>
    </row>
    <row r="94" spans="1:13" ht="22.5" x14ac:dyDescent="0.25">
      <c r="A94" s="11"/>
      <c r="B94" s="11"/>
      <c r="C94" s="11"/>
      <c r="D94" s="14" t="s">
        <v>95</v>
      </c>
      <c r="E94" s="11"/>
      <c r="F94" s="11"/>
      <c r="G94" s="11"/>
      <c r="H94" s="11"/>
      <c r="I94" s="11"/>
      <c r="J94" s="11"/>
      <c r="K94" s="11"/>
      <c r="L94" s="11"/>
      <c r="M94" s="11"/>
    </row>
    <row r="95" spans="1:13" x14ac:dyDescent="0.25">
      <c r="A95" s="11"/>
      <c r="B95" s="11"/>
      <c r="C95" s="11"/>
      <c r="D95" s="14"/>
      <c r="E95" s="15" t="s">
        <v>96</v>
      </c>
      <c r="F95" s="11">
        <v>145</v>
      </c>
      <c r="G95" s="17">
        <v>0</v>
      </c>
      <c r="H95" s="17">
        <v>0</v>
      </c>
      <c r="I95" s="17">
        <v>0</v>
      </c>
      <c r="J95" s="16">
        <f>F95*(G95+ (G95= 0))*(H95+ (H95= 0))*(I95+ (I95= 0))</f>
        <v>145</v>
      </c>
      <c r="K95" s="11"/>
      <c r="L95" s="11"/>
      <c r="M95" s="11"/>
    </row>
    <row r="96" spans="1:13" x14ac:dyDescent="0.25">
      <c r="A96" s="11"/>
      <c r="B96" s="11"/>
      <c r="C96" s="11"/>
      <c r="D96" s="14"/>
      <c r="E96" s="11"/>
      <c r="F96" s="11"/>
      <c r="G96" s="11"/>
      <c r="H96" s="11"/>
      <c r="I96" s="11"/>
      <c r="J96" s="18" t="s">
        <v>97</v>
      </c>
      <c r="K96" s="10">
        <f>SUM(J95:J95)</f>
        <v>145</v>
      </c>
      <c r="L96" s="17">
        <v>0</v>
      </c>
      <c r="M96" s="10">
        <f>ROUND(L96*K96,2)</f>
        <v>0</v>
      </c>
    </row>
    <row r="97" spans="1:13" x14ac:dyDescent="0.25">
      <c r="A97" s="19"/>
      <c r="B97" s="19"/>
      <c r="C97" s="19"/>
      <c r="D97" s="26"/>
      <c r="E97" s="19"/>
      <c r="F97" s="19"/>
      <c r="G97" s="19"/>
      <c r="H97" s="19"/>
      <c r="I97" s="19"/>
      <c r="J97" s="19"/>
      <c r="K97" s="19"/>
      <c r="L97" s="19"/>
      <c r="M97" s="19"/>
    </row>
    <row r="98" spans="1:13" x14ac:dyDescent="0.25">
      <c r="A98" s="15" t="s">
        <v>98</v>
      </c>
      <c r="B98" s="15" t="s">
        <v>24</v>
      </c>
      <c r="C98" s="15" t="s">
        <v>57</v>
      </c>
      <c r="D98" s="25" t="s">
        <v>99</v>
      </c>
      <c r="E98" s="11"/>
      <c r="F98" s="11"/>
      <c r="G98" s="11"/>
      <c r="H98" s="11"/>
      <c r="I98" s="11"/>
      <c r="J98" s="11"/>
      <c r="K98" s="16">
        <f>K101</f>
        <v>145</v>
      </c>
      <c r="L98" s="16">
        <f>L101</f>
        <v>0</v>
      </c>
      <c r="M98" s="16">
        <f>M101</f>
        <v>0</v>
      </c>
    </row>
    <row r="99" spans="1:13" ht="33.75" x14ac:dyDescent="0.25">
      <c r="A99" s="11"/>
      <c r="B99" s="11"/>
      <c r="C99" s="11"/>
      <c r="D99" s="14" t="s">
        <v>224</v>
      </c>
      <c r="E99" s="11"/>
      <c r="F99" s="11"/>
      <c r="G99" s="11"/>
      <c r="H99" s="11"/>
      <c r="I99" s="11"/>
      <c r="J99" s="11"/>
      <c r="K99" s="11"/>
      <c r="L99" s="11"/>
      <c r="M99" s="11"/>
    </row>
    <row r="100" spans="1:13" x14ac:dyDescent="0.25">
      <c r="A100" s="11"/>
      <c r="B100" s="11"/>
      <c r="C100" s="11"/>
      <c r="D100" s="14"/>
      <c r="E100" s="15" t="s">
        <v>39</v>
      </c>
      <c r="F100" s="11">
        <v>145</v>
      </c>
      <c r="G100" s="17">
        <v>0</v>
      </c>
      <c r="H100" s="17">
        <v>0</v>
      </c>
      <c r="I100" s="17">
        <v>0</v>
      </c>
      <c r="J100" s="16">
        <f>F100*(G100+ (G100= 0))*(H100+ (H100= 0))*(I100+ (I100= 0))</f>
        <v>145</v>
      </c>
      <c r="K100" s="11"/>
      <c r="L100" s="11"/>
      <c r="M100" s="11"/>
    </row>
    <row r="101" spans="1:13" x14ac:dyDescent="0.25">
      <c r="A101" s="11"/>
      <c r="B101" s="11"/>
      <c r="C101" s="11"/>
      <c r="D101" s="14"/>
      <c r="E101" s="11"/>
      <c r="F101" s="11"/>
      <c r="G101" s="11"/>
      <c r="H101" s="11"/>
      <c r="I101" s="11"/>
      <c r="J101" s="18" t="s">
        <v>100</v>
      </c>
      <c r="K101" s="10">
        <f>SUM(J100:J100)</f>
        <v>145</v>
      </c>
      <c r="L101" s="17">
        <v>0</v>
      </c>
      <c r="M101" s="10">
        <f>ROUND(L101*K101,2)</f>
        <v>0</v>
      </c>
    </row>
    <row r="102" spans="1:13" x14ac:dyDescent="0.25">
      <c r="A102" s="19"/>
      <c r="B102" s="19"/>
      <c r="C102" s="19"/>
      <c r="D102" s="26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1:13" x14ac:dyDescent="0.25">
      <c r="A103" s="15" t="s">
        <v>101</v>
      </c>
      <c r="B103" s="15" t="s">
        <v>24</v>
      </c>
      <c r="C103" s="15" t="s">
        <v>18</v>
      </c>
      <c r="D103" s="25" t="s">
        <v>102</v>
      </c>
      <c r="E103" s="11"/>
      <c r="F103" s="11"/>
      <c r="G103" s="11"/>
      <c r="H103" s="11"/>
      <c r="I103" s="11"/>
      <c r="J103" s="11"/>
      <c r="K103" s="16">
        <f>K106</f>
        <v>2</v>
      </c>
      <c r="L103" s="16">
        <f>L106</f>
        <v>0</v>
      </c>
      <c r="M103" s="16">
        <f>M106</f>
        <v>0</v>
      </c>
    </row>
    <row r="104" spans="1:13" ht="22.5" x14ac:dyDescent="0.25">
      <c r="A104" s="11"/>
      <c r="B104" s="11"/>
      <c r="C104" s="11"/>
      <c r="D104" s="14" t="s">
        <v>103</v>
      </c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x14ac:dyDescent="0.25">
      <c r="A105" s="11"/>
      <c r="B105" s="11"/>
      <c r="C105" s="11"/>
      <c r="D105" s="14"/>
      <c r="E105" s="15" t="s">
        <v>39</v>
      </c>
      <c r="F105" s="11">
        <v>1</v>
      </c>
      <c r="G105" s="17">
        <v>2</v>
      </c>
      <c r="H105" s="17">
        <v>0</v>
      </c>
      <c r="I105" s="17">
        <v>0</v>
      </c>
      <c r="J105" s="16">
        <f>F105*(G105+ (G105= 0))*(H105+ (H105= 0))*(I105+ (I105= 0))</f>
        <v>2</v>
      </c>
      <c r="K105" s="11"/>
      <c r="L105" s="11"/>
      <c r="M105" s="11"/>
    </row>
    <row r="106" spans="1:13" x14ac:dyDescent="0.25">
      <c r="A106" s="11"/>
      <c r="B106" s="11"/>
      <c r="C106" s="11"/>
      <c r="D106" s="14"/>
      <c r="E106" s="11"/>
      <c r="F106" s="11"/>
      <c r="G106" s="11"/>
      <c r="H106" s="11"/>
      <c r="I106" s="11"/>
      <c r="J106" s="18" t="s">
        <v>104</v>
      </c>
      <c r="K106" s="10">
        <f>SUM(J105:J105)</f>
        <v>2</v>
      </c>
      <c r="L106" s="17">
        <v>0</v>
      </c>
      <c r="M106" s="10">
        <f>ROUND(L106*K106,2)</f>
        <v>0</v>
      </c>
    </row>
    <row r="107" spans="1:13" x14ac:dyDescent="0.25">
      <c r="A107" s="19"/>
      <c r="B107" s="19"/>
      <c r="C107" s="19"/>
      <c r="D107" s="26"/>
      <c r="E107" s="19"/>
      <c r="F107" s="19"/>
      <c r="G107" s="19"/>
      <c r="H107" s="19"/>
      <c r="I107" s="19"/>
      <c r="J107" s="19"/>
      <c r="K107" s="19"/>
      <c r="L107" s="19"/>
      <c r="M107" s="19"/>
    </row>
    <row r="108" spans="1:13" x14ac:dyDescent="0.25">
      <c r="A108" s="11"/>
      <c r="B108" s="11"/>
      <c r="C108" s="11"/>
      <c r="D108" s="14"/>
      <c r="E108" s="11"/>
      <c r="F108" s="11"/>
      <c r="G108" s="11"/>
      <c r="H108" s="11"/>
      <c r="I108" s="11"/>
      <c r="J108" s="18" t="s">
        <v>105</v>
      </c>
      <c r="K108" s="17">
        <v>1</v>
      </c>
      <c r="L108" s="10">
        <f>M96+M101+M106</f>
        <v>0</v>
      </c>
      <c r="M108" s="10">
        <f>ROUND(L108*K108,2)</f>
        <v>0</v>
      </c>
    </row>
    <row r="109" spans="1:13" x14ac:dyDescent="0.25">
      <c r="A109" s="19"/>
      <c r="B109" s="19"/>
      <c r="C109" s="19"/>
      <c r="D109" s="26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1:13" x14ac:dyDescent="0.25">
      <c r="A110" s="12" t="s">
        <v>106</v>
      </c>
      <c r="B110" s="12" t="s">
        <v>17</v>
      </c>
      <c r="C110" s="12" t="s">
        <v>18</v>
      </c>
      <c r="D110" s="24" t="s">
        <v>107</v>
      </c>
      <c r="E110" s="13"/>
      <c r="F110" s="13"/>
      <c r="G110" s="13"/>
      <c r="H110" s="13"/>
      <c r="I110" s="13"/>
      <c r="J110" s="13"/>
      <c r="K110" s="10">
        <f>K144</f>
        <v>1</v>
      </c>
      <c r="L110" s="10">
        <f>L144</f>
        <v>0</v>
      </c>
      <c r="M110" s="10">
        <f>M144</f>
        <v>0</v>
      </c>
    </row>
    <row r="111" spans="1:13" ht="22.5" x14ac:dyDescent="0.25">
      <c r="A111" s="11"/>
      <c r="B111" s="11"/>
      <c r="C111" s="11"/>
      <c r="D111" s="14" t="s">
        <v>108</v>
      </c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x14ac:dyDescent="0.25">
      <c r="A112" s="15" t="s">
        <v>109</v>
      </c>
      <c r="B112" s="15" t="s">
        <v>24</v>
      </c>
      <c r="C112" s="15" t="s">
        <v>18</v>
      </c>
      <c r="D112" s="25" t="s">
        <v>110</v>
      </c>
      <c r="E112" s="11"/>
      <c r="F112" s="11"/>
      <c r="G112" s="11"/>
      <c r="H112" s="11"/>
      <c r="I112" s="11"/>
      <c r="J112" s="11"/>
      <c r="K112" s="16">
        <f>K118</f>
        <v>12</v>
      </c>
      <c r="L112" s="16">
        <f>L118</f>
        <v>0</v>
      </c>
      <c r="M112" s="16">
        <f>M118</f>
        <v>0</v>
      </c>
    </row>
    <row r="113" spans="1:13" ht="22.5" x14ac:dyDescent="0.25">
      <c r="A113" s="11"/>
      <c r="B113" s="11"/>
      <c r="C113" s="11"/>
      <c r="D113" s="14" t="s">
        <v>225</v>
      </c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x14ac:dyDescent="0.25">
      <c r="A114" s="11"/>
      <c r="B114" s="11"/>
      <c r="C114" s="11"/>
      <c r="D114" s="14"/>
      <c r="E114" s="15" t="s">
        <v>111</v>
      </c>
      <c r="F114" s="11">
        <v>2</v>
      </c>
      <c r="G114" s="17">
        <v>0</v>
      </c>
      <c r="H114" s="17">
        <v>0</v>
      </c>
      <c r="I114" s="17">
        <v>0</v>
      </c>
      <c r="J114" s="16">
        <f>F114*(G114+ (G114= 0))*(H114+ (H114= 0))*(I114+ (I114= 0))</f>
        <v>2</v>
      </c>
      <c r="K114" s="11"/>
      <c r="L114" s="11"/>
      <c r="M114" s="11"/>
    </row>
    <row r="115" spans="1:13" x14ac:dyDescent="0.25">
      <c r="A115" s="11"/>
      <c r="B115" s="11"/>
      <c r="C115" s="11"/>
      <c r="D115" s="14"/>
      <c r="E115" s="15" t="s">
        <v>112</v>
      </c>
      <c r="F115" s="11">
        <v>2</v>
      </c>
      <c r="G115" s="17">
        <v>0</v>
      </c>
      <c r="H115" s="17">
        <v>0</v>
      </c>
      <c r="I115" s="17">
        <v>0</v>
      </c>
      <c r="J115" s="16">
        <f>F115*(G115+ (G115= 0))*(H115+ (H115= 0))*(I115+ (I115= 0))</f>
        <v>2</v>
      </c>
      <c r="K115" s="11"/>
      <c r="L115" s="11"/>
      <c r="M115" s="11"/>
    </row>
    <row r="116" spans="1:13" x14ac:dyDescent="0.25">
      <c r="A116" s="11"/>
      <c r="B116" s="11"/>
      <c r="C116" s="11"/>
      <c r="D116" s="14"/>
      <c r="E116" s="15" t="s">
        <v>113</v>
      </c>
      <c r="F116" s="11">
        <v>6</v>
      </c>
      <c r="G116" s="17">
        <v>0</v>
      </c>
      <c r="H116" s="17">
        <v>0</v>
      </c>
      <c r="I116" s="17">
        <v>0</v>
      </c>
      <c r="J116" s="16">
        <f>F116*(G116+ (G116= 0))*(H116+ (H116= 0))*(I116+ (I116= 0))</f>
        <v>6</v>
      </c>
      <c r="K116" s="11"/>
      <c r="L116" s="11"/>
      <c r="M116" s="11"/>
    </row>
    <row r="117" spans="1:13" x14ac:dyDescent="0.25">
      <c r="A117" s="11"/>
      <c r="B117" s="11"/>
      <c r="C117" s="11"/>
      <c r="D117" s="14"/>
      <c r="E117" s="15" t="s">
        <v>114</v>
      </c>
      <c r="F117" s="11">
        <v>2</v>
      </c>
      <c r="G117" s="17">
        <v>0</v>
      </c>
      <c r="H117" s="17">
        <v>0</v>
      </c>
      <c r="I117" s="17">
        <v>0</v>
      </c>
      <c r="J117" s="16">
        <f>F117*(G117+ (G117= 0))*(H117+ (H117= 0))*(I117+ (I117= 0))</f>
        <v>2</v>
      </c>
      <c r="K117" s="11"/>
      <c r="L117" s="11"/>
      <c r="M117" s="11"/>
    </row>
    <row r="118" spans="1:13" x14ac:dyDescent="0.25">
      <c r="A118" s="11"/>
      <c r="B118" s="11"/>
      <c r="C118" s="11"/>
      <c r="D118" s="14"/>
      <c r="E118" s="11"/>
      <c r="F118" s="11"/>
      <c r="G118" s="11"/>
      <c r="H118" s="11"/>
      <c r="I118" s="11"/>
      <c r="J118" s="18" t="s">
        <v>115</v>
      </c>
      <c r="K118" s="10">
        <f>SUM(J114:J117)</f>
        <v>12</v>
      </c>
      <c r="L118" s="17">
        <v>0</v>
      </c>
      <c r="M118" s="10">
        <f>ROUND(L118*K118,2)</f>
        <v>0</v>
      </c>
    </row>
    <row r="119" spans="1:13" x14ac:dyDescent="0.25">
      <c r="A119" s="19"/>
      <c r="B119" s="19"/>
      <c r="C119" s="19"/>
      <c r="D119" s="26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1:13" x14ac:dyDescent="0.25">
      <c r="A120" s="15" t="s">
        <v>116</v>
      </c>
      <c r="B120" s="15" t="s">
        <v>24</v>
      </c>
      <c r="C120" s="15" t="s">
        <v>57</v>
      </c>
      <c r="D120" s="25" t="s">
        <v>117</v>
      </c>
      <c r="E120" s="11"/>
      <c r="F120" s="11"/>
      <c r="G120" s="11"/>
      <c r="H120" s="11"/>
      <c r="I120" s="11"/>
      <c r="J120" s="11"/>
      <c r="K120" s="16">
        <f>K128</f>
        <v>555</v>
      </c>
      <c r="L120" s="16">
        <f>L128</f>
        <v>0</v>
      </c>
      <c r="M120" s="16">
        <f>M128</f>
        <v>0</v>
      </c>
    </row>
    <row r="121" spans="1:13" ht="340.5" customHeight="1" x14ac:dyDescent="0.25">
      <c r="A121" s="11"/>
      <c r="B121" s="11"/>
      <c r="C121" s="11"/>
      <c r="D121" s="14" t="s">
        <v>118</v>
      </c>
      <c r="E121" s="11"/>
      <c r="F121" s="11"/>
      <c r="G121" s="11"/>
      <c r="H121" s="11"/>
      <c r="I121" s="11"/>
      <c r="J121" s="11"/>
      <c r="K121" s="11"/>
      <c r="L121" s="11"/>
      <c r="M121" s="11"/>
    </row>
    <row r="122" spans="1:13" x14ac:dyDescent="0.25">
      <c r="A122" s="11"/>
      <c r="B122" s="11"/>
      <c r="C122" s="11"/>
      <c r="D122" s="14"/>
      <c r="E122" s="15" t="s">
        <v>119</v>
      </c>
      <c r="F122" s="11">
        <v>3</v>
      </c>
      <c r="G122" s="17">
        <v>45</v>
      </c>
      <c r="H122" s="17">
        <v>0</v>
      </c>
      <c r="I122" s="17">
        <v>0</v>
      </c>
      <c r="J122" s="16">
        <f>F122*(G122+ (G122= 0))*(H122+ (H122= 0))*(I122+ (I122= 0))</f>
        <v>135</v>
      </c>
      <c r="K122" s="11"/>
      <c r="L122" s="11"/>
      <c r="M122" s="11"/>
    </row>
    <row r="123" spans="1:13" x14ac:dyDescent="0.25">
      <c r="A123" s="11"/>
      <c r="B123" s="11"/>
      <c r="C123" s="11"/>
      <c r="D123" s="14"/>
      <c r="E123" s="15" t="s">
        <v>111</v>
      </c>
      <c r="F123" s="11">
        <v>2</v>
      </c>
      <c r="G123" s="17">
        <v>35</v>
      </c>
      <c r="H123" s="17">
        <v>0</v>
      </c>
      <c r="I123" s="17">
        <v>0</v>
      </c>
      <c r="J123" s="16">
        <f>F123*(G123+ (G123= 0))*(H123+ (H123= 0))*(I123+ (I123= 0))</f>
        <v>70</v>
      </c>
      <c r="K123" s="11"/>
      <c r="L123" s="11"/>
      <c r="M123" s="11"/>
    </row>
    <row r="124" spans="1:13" x14ac:dyDescent="0.25">
      <c r="A124" s="11"/>
      <c r="B124" s="11"/>
      <c r="C124" s="11"/>
      <c r="D124" s="14"/>
      <c r="E124" s="15" t="s">
        <v>113</v>
      </c>
      <c r="F124" s="11">
        <v>6</v>
      </c>
      <c r="G124" s="17">
        <v>35</v>
      </c>
      <c r="H124" s="17">
        <v>0</v>
      </c>
      <c r="I124" s="17">
        <v>0</v>
      </c>
      <c r="J124" s="16">
        <f>F124*(G124+ (G124= 0))*(H124+ (H124= 0))*(I124+ (I124= 0))</f>
        <v>210</v>
      </c>
      <c r="K124" s="11"/>
      <c r="L124" s="11"/>
      <c r="M124" s="11"/>
    </row>
    <row r="125" spans="1:13" x14ac:dyDescent="0.25">
      <c r="A125" s="11"/>
      <c r="B125" s="11"/>
      <c r="C125" s="11"/>
      <c r="D125" s="14"/>
      <c r="E125" s="15" t="s">
        <v>114</v>
      </c>
      <c r="F125" s="11">
        <v>2</v>
      </c>
      <c r="G125" s="17">
        <v>45</v>
      </c>
      <c r="H125" s="17">
        <v>0</v>
      </c>
      <c r="I125" s="17">
        <v>0</v>
      </c>
      <c r="J125" s="16">
        <f>F125*(G125+ (G125= 0))*(H125+ (H125= 0))*(I125+ (I125= 0))</f>
        <v>90</v>
      </c>
      <c r="K125" s="11"/>
      <c r="L125" s="11"/>
      <c r="M125" s="11"/>
    </row>
    <row r="126" spans="1:13" x14ac:dyDescent="0.25">
      <c r="A126" s="11"/>
      <c r="B126" s="11"/>
      <c r="C126" s="11"/>
      <c r="D126" s="14"/>
      <c r="E126" s="15" t="s">
        <v>120</v>
      </c>
      <c r="F126" s="11">
        <v>1</v>
      </c>
      <c r="G126" s="17">
        <v>45</v>
      </c>
      <c r="H126" s="17">
        <v>0</v>
      </c>
      <c r="I126" s="17">
        <v>0</v>
      </c>
      <c r="J126" s="16">
        <f>F126*(G126+ (G126= 0))*(H126+ (H126= 0))*(I126+ (I126= 0))</f>
        <v>45</v>
      </c>
      <c r="K126" s="11"/>
      <c r="L126" s="11"/>
      <c r="M126" s="11"/>
    </row>
    <row r="127" spans="1:13" x14ac:dyDescent="0.25">
      <c r="A127" s="11"/>
      <c r="B127" s="11"/>
      <c r="C127" s="11"/>
      <c r="D127" s="14"/>
      <c r="E127" s="15" t="s">
        <v>121</v>
      </c>
      <c r="F127" s="11">
        <v>1</v>
      </c>
      <c r="G127" s="17">
        <v>5</v>
      </c>
      <c r="H127" s="17">
        <v>0</v>
      </c>
      <c r="I127" s="17">
        <v>0</v>
      </c>
      <c r="J127" s="16">
        <f>F127*(G127+ (G127= 0))*(H127+ (H127= 0))*(I127+ (I127= 0))</f>
        <v>5</v>
      </c>
      <c r="K127" s="11"/>
      <c r="L127" s="11"/>
      <c r="M127" s="11"/>
    </row>
    <row r="128" spans="1:13" x14ac:dyDescent="0.25">
      <c r="A128" s="11"/>
      <c r="B128" s="11"/>
      <c r="C128" s="11"/>
      <c r="D128" s="14"/>
      <c r="E128" s="11"/>
      <c r="F128" s="11"/>
      <c r="G128" s="11"/>
      <c r="H128" s="11"/>
      <c r="I128" s="11"/>
      <c r="J128" s="18" t="s">
        <v>122</v>
      </c>
      <c r="K128" s="10">
        <f>SUM(J122:J127)</f>
        <v>555</v>
      </c>
      <c r="L128" s="17">
        <v>0</v>
      </c>
      <c r="M128" s="10">
        <f>ROUND(L128*K128,2)</f>
        <v>0</v>
      </c>
    </row>
    <row r="129" spans="1:13" x14ac:dyDescent="0.25">
      <c r="A129" s="19"/>
      <c r="B129" s="19"/>
      <c r="C129" s="19"/>
      <c r="D129" s="26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1:13" x14ac:dyDescent="0.25">
      <c r="A130" s="15" t="s">
        <v>55</v>
      </c>
      <c r="B130" s="15" t="s">
        <v>24</v>
      </c>
      <c r="C130" s="15" t="s">
        <v>57</v>
      </c>
      <c r="D130" s="25" t="s">
        <v>56</v>
      </c>
      <c r="E130" s="11"/>
      <c r="F130" s="11"/>
      <c r="G130" s="11"/>
      <c r="H130" s="11"/>
      <c r="I130" s="11"/>
      <c r="J130" s="11"/>
      <c r="K130" s="16">
        <f>K133</f>
        <v>555</v>
      </c>
      <c r="L130" s="16">
        <f>L133</f>
        <v>0</v>
      </c>
      <c r="M130" s="16">
        <f>M133</f>
        <v>0</v>
      </c>
    </row>
    <row r="131" spans="1:13" ht="56.25" x14ac:dyDescent="0.25">
      <c r="A131" s="11"/>
      <c r="B131" s="11"/>
      <c r="C131" s="11"/>
      <c r="D131" s="14" t="s">
        <v>58</v>
      </c>
      <c r="E131" s="11"/>
      <c r="F131" s="11"/>
      <c r="G131" s="11"/>
      <c r="H131" s="11"/>
      <c r="I131" s="11"/>
      <c r="J131" s="11"/>
      <c r="K131" s="11"/>
      <c r="L131" s="11"/>
      <c r="M131" s="11"/>
    </row>
    <row r="132" spans="1:13" x14ac:dyDescent="0.25">
      <c r="A132" s="11"/>
      <c r="B132" s="11"/>
      <c r="C132" s="11"/>
      <c r="D132" s="14"/>
      <c r="E132" s="15" t="s">
        <v>39</v>
      </c>
      <c r="F132" s="11">
        <v>555</v>
      </c>
      <c r="G132" s="17">
        <v>0</v>
      </c>
      <c r="H132" s="17">
        <v>0</v>
      </c>
      <c r="I132" s="17">
        <v>0</v>
      </c>
      <c r="J132" s="16">
        <f>F132*(G132+ (G132= 0))*(H132+ (H132= 0))*(I132+ (I132= 0))</f>
        <v>555</v>
      </c>
      <c r="K132" s="11"/>
      <c r="L132" s="11"/>
      <c r="M132" s="11"/>
    </row>
    <row r="133" spans="1:13" x14ac:dyDescent="0.25">
      <c r="A133" s="11"/>
      <c r="B133" s="11"/>
      <c r="C133" s="11"/>
      <c r="D133" s="14"/>
      <c r="E133" s="11"/>
      <c r="F133" s="11"/>
      <c r="G133" s="11"/>
      <c r="H133" s="11"/>
      <c r="I133" s="11"/>
      <c r="J133" s="18" t="s">
        <v>59</v>
      </c>
      <c r="K133" s="10">
        <f>SUM(J132:J132)</f>
        <v>555</v>
      </c>
      <c r="L133" s="17">
        <v>0</v>
      </c>
      <c r="M133" s="10">
        <f>ROUND(L133*K133,2)</f>
        <v>0</v>
      </c>
    </row>
    <row r="134" spans="1:13" x14ac:dyDescent="0.25">
      <c r="A134" s="19"/>
      <c r="B134" s="19"/>
      <c r="C134" s="19"/>
      <c r="D134" s="26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1:13" x14ac:dyDescent="0.25">
      <c r="A135" s="15" t="s">
        <v>123</v>
      </c>
      <c r="B135" s="15" t="s">
        <v>24</v>
      </c>
      <c r="C135" s="15" t="s">
        <v>18</v>
      </c>
      <c r="D135" s="25" t="s">
        <v>124</v>
      </c>
      <c r="E135" s="11"/>
      <c r="F135" s="11"/>
      <c r="G135" s="11"/>
      <c r="H135" s="11"/>
      <c r="I135" s="11"/>
      <c r="J135" s="11"/>
      <c r="K135" s="16">
        <f>K142</f>
        <v>12</v>
      </c>
      <c r="L135" s="16">
        <f>L142</f>
        <v>0</v>
      </c>
      <c r="M135" s="16">
        <f>M142</f>
        <v>0</v>
      </c>
    </row>
    <row r="136" spans="1:13" ht="67.5" x14ac:dyDescent="0.25">
      <c r="A136" s="11"/>
      <c r="B136" s="11"/>
      <c r="C136" s="11"/>
      <c r="D136" s="14" t="s">
        <v>125</v>
      </c>
      <c r="E136" s="11"/>
      <c r="F136" s="11"/>
      <c r="G136" s="11"/>
      <c r="H136" s="11"/>
      <c r="I136" s="11"/>
      <c r="J136" s="11"/>
      <c r="K136" s="11"/>
      <c r="L136" s="11"/>
      <c r="M136" s="11"/>
    </row>
    <row r="137" spans="1:13" x14ac:dyDescent="0.25">
      <c r="A137" s="11"/>
      <c r="B137" s="11"/>
      <c r="C137" s="11"/>
      <c r="D137" s="14"/>
      <c r="E137" s="15" t="s">
        <v>111</v>
      </c>
      <c r="F137" s="11">
        <v>2</v>
      </c>
      <c r="G137" s="17">
        <v>0</v>
      </c>
      <c r="H137" s="17">
        <v>0</v>
      </c>
      <c r="I137" s="17">
        <v>0</v>
      </c>
      <c r="J137" s="16">
        <f>F137*(G137+ (G137= 0))*(H137+ (H137= 0))*(I137+ (I137= 0))</f>
        <v>2</v>
      </c>
      <c r="K137" s="11"/>
      <c r="L137" s="11"/>
      <c r="M137" s="11"/>
    </row>
    <row r="138" spans="1:13" x14ac:dyDescent="0.25">
      <c r="A138" s="11"/>
      <c r="B138" s="11"/>
      <c r="C138" s="11"/>
      <c r="D138" s="14"/>
      <c r="E138" s="15" t="s">
        <v>113</v>
      </c>
      <c r="F138" s="11">
        <v>6</v>
      </c>
      <c r="G138" s="17">
        <v>0</v>
      </c>
      <c r="H138" s="17">
        <v>0</v>
      </c>
      <c r="I138" s="17">
        <v>0</v>
      </c>
      <c r="J138" s="16">
        <f>F138*(G138+ (G138= 0))*(H138+ (H138= 0))*(I138+ (I138= 0))</f>
        <v>6</v>
      </c>
      <c r="K138" s="11"/>
      <c r="L138" s="11"/>
      <c r="M138" s="11"/>
    </row>
    <row r="139" spans="1:13" x14ac:dyDescent="0.25">
      <c r="A139" s="11"/>
      <c r="B139" s="11"/>
      <c r="C139" s="11"/>
      <c r="D139" s="14"/>
      <c r="E139" s="15" t="s">
        <v>114</v>
      </c>
      <c r="F139" s="11">
        <v>2</v>
      </c>
      <c r="G139" s="17">
        <v>0</v>
      </c>
      <c r="H139" s="17">
        <v>0</v>
      </c>
      <c r="I139" s="17">
        <v>0</v>
      </c>
      <c r="J139" s="16">
        <f>F139*(G139+ (G139= 0))*(H139+ (H139= 0))*(I139+ (I139= 0))</f>
        <v>2</v>
      </c>
      <c r="K139" s="11"/>
      <c r="L139" s="11"/>
      <c r="M139" s="11"/>
    </row>
    <row r="140" spans="1:13" x14ac:dyDescent="0.25">
      <c r="A140" s="11"/>
      <c r="B140" s="11"/>
      <c r="C140" s="11"/>
      <c r="D140" s="14"/>
      <c r="E140" s="15" t="s">
        <v>120</v>
      </c>
      <c r="F140" s="11">
        <v>1</v>
      </c>
      <c r="G140" s="17">
        <v>0</v>
      </c>
      <c r="H140" s="17">
        <v>0</v>
      </c>
      <c r="I140" s="17">
        <v>0</v>
      </c>
      <c r="J140" s="16">
        <f>F140*(G140+ (G140= 0))*(H140+ (H140= 0))*(I140+ (I140= 0))</f>
        <v>1</v>
      </c>
      <c r="K140" s="11"/>
      <c r="L140" s="11"/>
      <c r="M140" s="11"/>
    </row>
    <row r="141" spans="1:13" x14ac:dyDescent="0.25">
      <c r="A141" s="11"/>
      <c r="B141" s="11"/>
      <c r="C141" s="11"/>
      <c r="D141" s="14"/>
      <c r="E141" s="15" t="s">
        <v>121</v>
      </c>
      <c r="F141" s="11">
        <v>1</v>
      </c>
      <c r="G141" s="17">
        <v>0</v>
      </c>
      <c r="H141" s="17">
        <v>0</v>
      </c>
      <c r="I141" s="17">
        <v>0</v>
      </c>
      <c r="J141" s="16">
        <f>F141*(G141+ (G141= 0))*(H141+ (H141= 0))*(I141+ (I141= 0))</f>
        <v>1</v>
      </c>
      <c r="K141" s="11"/>
      <c r="L141" s="11"/>
      <c r="M141" s="11"/>
    </row>
    <row r="142" spans="1:13" x14ac:dyDescent="0.25">
      <c r="A142" s="11"/>
      <c r="B142" s="11"/>
      <c r="C142" s="11"/>
      <c r="D142" s="14"/>
      <c r="E142" s="11"/>
      <c r="F142" s="11"/>
      <c r="G142" s="11"/>
      <c r="H142" s="11"/>
      <c r="I142" s="11"/>
      <c r="J142" s="18" t="s">
        <v>126</v>
      </c>
      <c r="K142" s="10">
        <f>SUM(J137:J141)</f>
        <v>12</v>
      </c>
      <c r="L142" s="17">
        <v>0</v>
      </c>
      <c r="M142" s="10">
        <f>ROUND(L142*K142,2)</f>
        <v>0</v>
      </c>
    </row>
    <row r="143" spans="1:13" x14ac:dyDescent="0.25">
      <c r="A143" s="19"/>
      <c r="B143" s="19"/>
      <c r="C143" s="19"/>
      <c r="D143" s="26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1:13" x14ac:dyDescent="0.25">
      <c r="A144" s="11"/>
      <c r="B144" s="11"/>
      <c r="C144" s="11"/>
      <c r="D144" s="14"/>
      <c r="E144" s="11"/>
      <c r="F144" s="11"/>
      <c r="G144" s="11"/>
      <c r="H144" s="11"/>
      <c r="I144" s="11"/>
      <c r="J144" s="18" t="s">
        <v>127</v>
      </c>
      <c r="K144" s="17">
        <v>1</v>
      </c>
      <c r="L144" s="10">
        <f>M118+M128+M133+M142</f>
        <v>0</v>
      </c>
      <c r="M144" s="10">
        <f>ROUND(L144*K144,2)</f>
        <v>0</v>
      </c>
    </row>
    <row r="145" spans="1:13" x14ac:dyDescent="0.25">
      <c r="A145" s="19"/>
      <c r="B145" s="19"/>
      <c r="C145" s="19"/>
      <c r="D145" s="26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1:13" x14ac:dyDescent="0.25">
      <c r="A146" s="12" t="s">
        <v>128</v>
      </c>
      <c r="B146" s="12" t="s">
        <v>17</v>
      </c>
      <c r="C146" s="12" t="s">
        <v>18</v>
      </c>
      <c r="D146" s="24" t="s">
        <v>129</v>
      </c>
      <c r="E146" s="13"/>
      <c r="F146" s="13"/>
      <c r="G146" s="13"/>
      <c r="H146" s="13"/>
      <c r="I146" s="13"/>
      <c r="J146" s="13"/>
      <c r="K146" s="10">
        <f>K222</f>
        <v>1</v>
      </c>
      <c r="L146" s="10">
        <f>L222</f>
        <v>0</v>
      </c>
      <c r="M146" s="10">
        <f>M222</f>
        <v>0</v>
      </c>
    </row>
    <row r="147" spans="1:13" ht="33.75" x14ac:dyDescent="0.25">
      <c r="A147" s="11"/>
      <c r="B147" s="11"/>
      <c r="C147" s="11"/>
      <c r="D147" s="14" t="s">
        <v>130</v>
      </c>
      <c r="E147" s="11"/>
      <c r="F147" s="11"/>
      <c r="G147" s="11"/>
      <c r="H147" s="11"/>
      <c r="I147" s="11"/>
      <c r="J147" s="11"/>
      <c r="K147" s="11"/>
      <c r="L147" s="11"/>
      <c r="M147" s="11"/>
    </row>
    <row r="148" spans="1:13" x14ac:dyDescent="0.25">
      <c r="A148" s="12" t="s">
        <v>131</v>
      </c>
      <c r="B148" s="12" t="s">
        <v>17</v>
      </c>
      <c r="C148" s="12" t="s">
        <v>39</v>
      </c>
      <c r="D148" s="24" t="s">
        <v>132</v>
      </c>
      <c r="E148" s="13"/>
      <c r="F148" s="13"/>
      <c r="G148" s="13"/>
      <c r="H148" s="13"/>
      <c r="I148" s="13"/>
      <c r="J148" s="13"/>
      <c r="K148" s="10">
        <f>K177</f>
        <v>1</v>
      </c>
      <c r="L148" s="10">
        <f>L177</f>
        <v>0</v>
      </c>
      <c r="M148" s="10">
        <f>M177</f>
        <v>0</v>
      </c>
    </row>
    <row r="149" spans="1:13" x14ac:dyDescent="0.25">
      <c r="A149" s="11"/>
      <c r="B149" s="11"/>
      <c r="C149" s="11"/>
      <c r="D149" s="14"/>
      <c r="E149" s="11"/>
      <c r="F149" s="11"/>
      <c r="G149" s="11"/>
      <c r="H149" s="11"/>
      <c r="I149" s="11"/>
      <c r="J149" s="11"/>
      <c r="K149" s="11"/>
      <c r="L149" s="11"/>
      <c r="M149" s="11"/>
    </row>
    <row r="150" spans="1:13" x14ac:dyDescent="0.25">
      <c r="A150" s="15" t="s">
        <v>133</v>
      </c>
      <c r="B150" s="15" t="s">
        <v>24</v>
      </c>
      <c r="C150" s="15" t="s">
        <v>18</v>
      </c>
      <c r="D150" s="25" t="s">
        <v>134</v>
      </c>
      <c r="E150" s="11"/>
      <c r="F150" s="11"/>
      <c r="G150" s="11"/>
      <c r="H150" s="11"/>
      <c r="I150" s="11"/>
      <c r="J150" s="11"/>
      <c r="K150" s="16">
        <f>K153</f>
        <v>1</v>
      </c>
      <c r="L150" s="16">
        <f>L153</f>
        <v>0</v>
      </c>
      <c r="M150" s="16">
        <f>M153</f>
        <v>0</v>
      </c>
    </row>
    <row r="151" spans="1:13" ht="67.5" x14ac:dyDescent="0.25">
      <c r="A151" s="11"/>
      <c r="B151" s="11"/>
      <c r="C151" s="11"/>
      <c r="D151" s="14" t="s">
        <v>135</v>
      </c>
      <c r="E151" s="11"/>
      <c r="F151" s="11"/>
      <c r="G151" s="11"/>
      <c r="H151" s="11"/>
      <c r="I151" s="11"/>
      <c r="J151" s="11"/>
      <c r="K151" s="11"/>
      <c r="L151" s="11"/>
      <c r="M151" s="11"/>
    </row>
    <row r="152" spans="1:13" x14ac:dyDescent="0.25">
      <c r="A152" s="11"/>
      <c r="B152" s="11"/>
      <c r="C152" s="11"/>
      <c r="D152" s="14"/>
      <c r="E152" s="15" t="s">
        <v>136</v>
      </c>
      <c r="F152" s="11">
        <v>1</v>
      </c>
      <c r="G152" s="17">
        <v>0</v>
      </c>
      <c r="H152" s="17">
        <v>0</v>
      </c>
      <c r="I152" s="17">
        <v>0</v>
      </c>
      <c r="J152" s="16">
        <f>F152*(G152+ (G152= 0))*(H152+ (H152= 0))*(I152+ (I152= 0))</f>
        <v>1</v>
      </c>
      <c r="K152" s="11"/>
      <c r="L152" s="11"/>
      <c r="M152" s="11"/>
    </row>
    <row r="153" spans="1:13" x14ac:dyDescent="0.25">
      <c r="A153" s="11"/>
      <c r="B153" s="11"/>
      <c r="C153" s="11"/>
      <c r="D153" s="14"/>
      <c r="E153" s="11"/>
      <c r="F153" s="11"/>
      <c r="G153" s="11"/>
      <c r="H153" s="11"/>
      <c r="I153" s="11"/>
      <c r="J153" s="18" t="s">
        <v>137</v>
      </c>
      <c r="K153" s="10">
        <f>SUM(J152:J152)</f>
        <v>1</v>
      </c>
      <c r="L153" s="17">
        <v>0</v>
      </c>
      <c r="M153" s="10">
        <f>ROUND(L153*K153,2)</f>
        <v>0</v>
      </c>
    </row>
    <row r="154" spans="1:13" x14ac:dyDescent="0.25">
      <c r="A154" s="19"/>
      <c r="B154" s="19"/>
      <c r="C154" s="19"/>
      <c r="D154" s="26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1:13" x14ac:dyDescent="0.25">
      <c r="A155" s="15" t="s">
        <v>138</v>
      </c>
      <c r="B155" s="15" t="s">
        <v>24</v>
      </c>
      <c r="C155" s="15" t="s">
        <v>18</v>
      </c>
      <c r="D155" s="25" t="s">
        <v>139</v>
      </c>
      <c r="E155" s="11"/>
      <c r="F155" s="11"/>
      <c r="G155" s="11"/>
      <c r="H155" s="11"/>
      <c r="I155" s="11"/>
      <c r="J155" s="11"/>
      <c r="K155" s="16">
        <f>K159</f>
        <v>5</v>
      </c>
      <c r="L155" s="16">
        <f>L159</f>
        <v>0</v>
      </c>
      <c r="M155" s="16">
        <f>M159</f>
        <v>0</v>
      </c>
    </row>
    <row r="156" spans="1:13" ht="22.5" x14ac:dyDescent="0.25">
      <c r="A156" s="11"/>
      <c r="B156" s="11"/>
      <c r="C156" s="11"/>
      <c r="D156" s="14" t="s">
        <v>140</v>
      </c>
      <c r="E156" s="11"/>
      <c r="F156" s="11"/>
      <c r="G156" s="11"/>
      <c r="H156" s="11"/>
      <c r="I156" s="11"/>
      <c r="J156" s="11"/>
      <c r="K156" s="11"/>
      <c r="L156" s="11"/>
      <c r="M156" s="11"/>
    </row>
    <row r="157" spans="1:13" x14ac:dyDescent="0.25">
      <c r="A157" s="11"/>
      <c r="B157" s="11"/>
      <c r="C157" s="11"/>
      <c r="D157" s="14"/>
      <c r="E157" s="15" t="s">
        <v>141</v>
      </c>
      <c r="F157" s="11">
        <v>0</v>
      </c>
      <c r="G157" s="17">
        <v>0</v>
      </c>
      <c r="H157" s="17">
        <v>0</v>
      </c>
      <c r="I157" s="17">
        <v>0</v>
      </c>
      <c r="J157" s="16">
        <f>F157*(G157+ (G157= 0))*(H157+ (H157= 0))*(I157+ (I157= 0))</f>
        <v>0</v>
      </c>
      <c r="K157" s="11"/>
      <c r="L157" s="11"/>
      <c r="M157" s="11"/>
    </row>
    <row r="158" spans="1:13" x14ac:dyDescent="0.25">
      <c r="A158" s="11"/>
      <c r="B158" s="11"/>
      <c r="C158" s="11"/>
      <c r="D158" s="14"/>
      <c r="E158" s="15" t="s">
        <v>142</v>
      </c>
      <c r="F158" s="11">
        <v>5</v>
      </c>
      <c r="G158" s="17">
        <v>0</v>
      </c>
      <c r="H158" s="17">
        <v>0</v>
      </c>
      <c r="I158" s="17">
        <v>0</v>
      </c>
      <c r="J158" s="16">
        <f>F158*(G158+ (G158= 0))*(H158+ (H158= 0))*(I158+ (I158= 0))</f>
        <v>5</v>
      </c>
      <c r="K158" s="11"/>
      <c r="L158" s="11"/>
      <c r="M158" s="11"/>
    </row>
    <row r="159" spans="1:13" x14ac:dyDescent="0.25">
      <c r="A159" s="11"/>
      <c r="B159" s="11"/>
      <c r="C159" s="11"/>
      <c r="D159" s="14"/>
      <c r="E159" s="11"/>
      <c r="F159" s="11"/>
      <c r="G159" s="11"/>
      <c r="H159" s="11"/>
      <c r="I159" s="11"/>
      <c r="J159" s="18" t="s">
        <v>143</v>
      </c>
      <c r="K159" s="10">
        <f>SUM(J157:J158)</f>
        <v>5</v>
      </c>
      <c r="L159" s="17">
        <v>0</v>
      </c>
      <c r="M159" s="10">
        <f>ROUND(L159*K159,2)</f>
        <v>0</v>
      </c>
    </row>
    <row r="160" spans="1:13" x14ac:dyDescent="0.25">
      <c r="A160" s="19"/>
      <c r="B160" s="19"/>
      <c r="C160" s="19"/>
      <c r="D160" s="26"/>
      <c r="E160" s="19"/>
      <c r="F160" s="19"/>
      <c r="G160" s="19"/>
      <c r="H160" s="19"/>
      <c r="I160" s="19"/>
      <c r="J160" s="19"/>
      <c r="K160" s="19"/>
      <c r="L160" s="19"/>
      <c r="M160" s="19"/>
    </row>
    <row r="161" spans="1:13" x14ac:dyDescent="0.25">
      <c r="A161" s="15" t="s">
        <v>144</v>
      </c>
      <c r="B161" s="15" t="s">
        <v>24</v>
      </c>
      <c r="C161" s="15" t="s">
        <v>18</v>
      </c>
      <c r="D161" s="25" t="s">
        <v>145</v>
      </c>
      <c r="E161" s="11"/>
      <c r="F161" s="11"/>
      <c r="G161" s="11"/>
      <c r="H161" s="11"/>
      <c r="I161" s="11"/>
      <c r="J161" s="11"/>
      <c r="K161" s="16">
        <f>K165</f>
        <v>6</v>
      </c>
      <c r="L161" s="16">
        <f>L165</f>
        <v>0</v>
      </c>
      <c r="M161" s="16">
        <f>M165</f>
        <v>0</v>
      </c>
    </row>
    <row r="162" spans="1:13" ht="33.75" x14ac:dyDescent="0.25">
      <c r="A162" s="11"/>
      <c r="B162" s="11"/>
      <c r="C162" s="11"/>
      <c r="D162" s="14" t="s">
        <v>146</v>
      </c>
      <c r="E162" s="11"/>
      <c r="F162" s="11"/>
      <c r="G162" s="11"/>
      <c r="H162" s="11"/>
      <c r="I162" s="11"/>
      <c r="J162" s="11"/>
      <c r="K162" s="11"/>
      <c r="L162" s="11"/>
      <c r="M162" s="11"/>
    </row>
    <row r="163" spans="1:13" x14ac:dyDescent="0.25">
      <c r="A163" s="11"/>
      <c r="B163" s="11"/>
      <c r="C163" s="11"/>
      <c r="D163" s="14"/>
      <c r="E163" s="15" t="s">
        <v>147</v>
      </c>
      <c r="F163" s="11">
        <v>0</v>
      </c>
      <c r="G163" s="17">
        <v>0</v>
      </c>
      <c r="H163" s="17">
        <v>0</v>
      </c>
      <c r="I163" s="17">
        <v>0</v>
      </c>
      <c r="J163" s="16">
        <f>F163*(G163+ (G163= 0))*(H163+ (H163= 0))*(I163+ (I163= 0))</f>
        <v>0</v>
      </c>
      <c r="K163" s="11"/>
      <c r="L163" s="11"/>
      <c r="M163" s="11"/>
    </row>
    <row r="164" spans="1:13" x14ac:dyDescent="0.25">
      <c r="A164" s="11"/>
      <c r="B164" s="11"/>
      <c r="C164" s="11"/>
      <c r="D164" s="14"/>
      <c r="E164" s="15" t="s">
        <v>142</v>
      </c>
      <c r="F164" s="11">
        <v>6</v>
      </c>
      <c r="G164" s="17">
        <v>0</v>
      </c>
      <c r="H164" s="17">
        <v>0</v>
      </c>
      <c r="I164" s="17">
        <v>0</v>
      </c>
      <c r="J164" s="16">
        <f>F164*(G164+ (G164= 0))*(H164+ (H164= 0))*(I164+ (I164= 0))</f>
        <v>6</v>
      </c>
      <c r="K164" s="11"/>
      <c r="L164" s="11"/>
      <c r="M164" s="11"/>
    </row>
    <row r="165" spans="1:13" x14ac:dyDescent="0.25">
      <c r="A165" s="11"/>
      <c r="B165" s="11"/>
      <c r="C165" s="11"/>
      <c r="D165" s="14"/>
      <c r="E165" s="11"/>
      <c r="F165" s="11"/>
      <c r="G165" s="11"/>
      <c r="H165" s="11"/>
      <c r="I165" s="11"/>
      <c r="J165" s="18" t="s">
        <v>148</v>
      </c>
      <c r="K165" s="10">
        <f>SUM(J163:J164)</f>
        <v>6</v>
      </c>
      <c r="L165" s="17">
        <v>0</v>
      </c>
      <c r="M165" s="10">
        <f>ROUND(L165*K165,2)</f>
        <v>0</v>
      </c>
    </row>
    <row r="166" spans="1:13" x14ac:dyDescent="0.25">
      <c r="A166" s="19"/>
      <c r="B166" s="19"/>
      <c r="C166" s="19"/>
      <c r="D166" s="26"/>
      <c r="E166" s="19"/>
      <c r="F166" s="19"/>
      <c r="G166" s="19"/>
      <c r="H166" s="19"/>
      <c r="I166" s="19"/>
      <c r="J166" s="19"/>
      <c r="K166" s="19"/>
      <c r="L166" s="19"/>
      <c r="M166" s="19"/>
    </row>
    <row r="167" spans="1:13" x14ac:dyDescent="0.25">
      <c r="A167" s="15" t="s">
        <v>149</v>
      </c>
      <c r="B167" s="15" t="s">
        <v>24</v>
      </c>
      <c r="C167" s="15" t="s">
        <v>18</v>
      </c>
      <c r="D167" s="25" t="s">
        <v>150</v>
      </c>
      <c r="E167" s="11"/>
      <c r="F167" s="11"/>
      <c r="G167" s="11"/>
      <c r="H167" s="11"/>
      <c r="I167" s="11"/>
      <c r="J167" s="11"/>
      <c r="K167" s="16">
        <f>K170</f>
        <v>7</v>
      </c>
      <c r="L167" s="16">
        <f>L170</f>
        <v>0</v>
      </c>
      <c r="M167" s="16">
        <f>M170</f>
        <v>0</v>
      </c>
    </row>
    <row r="168" spans="1:13" ht="22.5" x14ac:dyDescent="0.25">
      <c r="A168" s="11"/>
      <c r="B168" s="11"/>
      <c r="C168" s="11"/>
      <c r="D168" s="14" t="s">
        <v>151</v>
      </c>
      <c r="E168" s="11"/>
      <c r="F168" s="11"/>
      <c r="G168" s="11"/>
      <c r="H168" s="11"/>
      <c r="I168" s="11"/>
      <c r="J168" s="11"/>
      <c r="K168" s="11"/>
      <c r="L168" s="11"/>
      <c r="M168" s="11"/>
    </row>
    <row r="169" spans="1:13" x14ac:dyDescent="0.25">
      <c r="A169" s="11"/>
      <c r="B169" s="11"/>
      <c r="C169" s="11"/>
      <c r="D169" s="14"/>
      <c r="E169" s="15" t="s">
        <v>39</v>
      </c>
      <c r="F169" s="11">
        <v>7</v>
      </c>
      <c r="G169" s="17">
        <v>0</v>
      </c>
      <c r="H169" s="17">
        <v>0</v>
      </c>
      <c r="I169" s="17">
        <v>0</v>
      </c>
      <c r="J169" s="16">
        <f>F169*(G169+ (G169= 0))*(H169+ (H169= 0))*(I169+ (I169= 0))</f>
        <v>7</v>
      </c>
      <c r="K169" s="11"/>
      <c r="L169" s="11"/>
      <c r="M169" s="11"/>
    </row>
    <row r="170" spans="1:13" x14ac:dyDescent="0.25">
      <c r="A170" s="11"/>
      <c r="B170" s="11"/>
      <c r="C170" s="11"/>
      <c r="D170" s="14"/>
      <c r="E170" s="11"/>
      <c r="F170" s="11"/>
      <c r="G170" s="11"/>
      <c r="H170" s="11"/>
      <c r="I170" s="11"/>
      <c r="J170" s="18" t="s">
        <v>152</v>
      </c>
      <c r="K170" s="10">
        <f>SUM(J169:J169)</f>
        <v>7</v>
      </c>
      <c r="L170" s="17">
        <v>0</v>
      </c>
      <c r="M170" s="10">
        <f>ROUND(L170*K170,2)</f>
        <v>0</v>
      </c>
    </row>
    <row r="171" spans="1:13" x14ac:dyDescent="0.25">
      <c r="A171" s="19"/>
      <c r="B171" s="19"/>
      <c r="C171" s="19"/>
      <c r="D171" s="26"/>
      <c r="E171" s="19"/>
      <c r="F171" s="19"/>
      <c r="G171" s="19"/>
      <c r="H171" s="19"/>
      <c r="I171" s="19"/>
      <c r="J171" s="19"/>
      <c r="K171" s="19"/>
      <c r="L171" s="19"/>
      <c r="M171" s="19"/>
    </row>
    <row r="172" spans="1:13" x14ac:dyDescent="0.25">
      <c r="A172" s="15" t="s">
        <v>153</v>
      </c>
      <c r="B172" s="15" t="s">
        <v>24</v>
      </c>
      <c r="C172" s="15" t="s">
        <v>18</v>
      </c>
      <c r="D172" s="25" t="s">
        <v>154</v>
      </c>
      <c r="E172" s="11"/>
      <c r="F172" s="11"/>
      <c r="G172" s="11"/>
      <c r="H172" s="11"/>
      <c r="I172" s="11"/>
      <c r="J172" s="11"/>
      <c r="K172" s="16">
        <f>K175</f>
        <v>3</v>
      </c>
      <c r="L172" s="16">
        <f>L175</f>
        <v>0</v>
      </c>
      <c r="M172" s="16">
        <f>M175</f>
        <v>0</v>
      </c>
    </row>
    <row r="173" spans="1:13" ht="22.5" x14ac:dyDescent="0.25">
      <c r="A173" s="11"/>
      <c r="B173" s="11"/>
      <c r="C173" s="11"/>
      <c r="D173" s="14" t="s">
        <v>155</v>
      </c>
      <c r="E173" s="11"/>
      <c r="F173" s="11"/>
      <c r="G173" s="11"/>
      <c r="H173" s="11"/>
      <c r="I173" s="11"/>
      <c r="J173" s="11"/>
      <c r="K173" s="11"/>
      <c r="L173" s="11"/>
      <c r="M173" s="11"/>
    </row>
    <row r="174" spans="1:13" x14ac:dyDescent="0.25">
      <c r="A174" s="11"/>
      <c r="B174" s="11"/>
      <c r="C174" s="11"/>
      <c r="D174" s="14"/>
      <c r="E174" s="15" t="s">
        <v>39</v>
      </c>
      <c r="F174" s="11">
        <v>1</v>
      </c>
      <c r="G174" s="17">
        <v>3</v>
      </c>
      <c r="H174" s="17">
        <v>0</v>
      </c>
      <c r="I174" s="17">
        <v>0</v>
      </c>
      <c r="J174" s="16">
        <f>F174*(G174+ (G174= 0))*(H174+ (H174= 0))*(I174+ (I174= 0))</f>
        <v>3</v>
      </c>
      <c r="K174" s="11"/>
      <c r="L174" s="11"/>
      <c r="M174" s="11"/>
    </row>
    <row r="175" spans="1:13" x14ac:dyDescent="0.25">
      <c r="A175" s="11"/>
      <c r="B175" s="11"/>
      <c r="C175" s="11"/>
      <c r="D175" s="14"/>
      <c r="E175" s="11"/>
      <c r="F175" s="11"/>
      <c r="G175" s="11"/>
      <c r="H175" s="11"/>
      <c r="I175" s="11"/>
      <c r="J175" s="18" t="s">
        <v>156</v>
      </c>
      <c r="K175" s="10">
        <f>SUM(J174:J174)</f>
        <v>3</v>
      </c>
      <c r="L175" s="17">
        <v>0</v>
      </c>
      <c r="M175" s="10">
        <f>ROUND(L175*K175,2)</f>
        <v>0</v>
      </c>
    </row>
    <row r="176" spans="1:13" x14ac:dyDescent="0.25">
      <c r="A176" s="19"/>
      <c r="B176" s="19"/>
      <c r="C176" s="19"/>
      <c r="D176" s="26"/>
      <c r="E176" s="19"/>
      <c r="F176" s="19"/>
      <c r="G176" s="19"/>
      <c r="H176" s="19"/>
      <c r="I176" s="19"/>
      <c r="J176" s="19"/>
      <c r="K176" s="19"/>
      <c r="L176" s="19"/>
      <c r="M176" s="19"/>
    </row>
    <row r="177" spans="1:13" x14ac:dyDescent="0.25">
      <c r="A177" s="11"/>
      <c r="B177" s="11"/>
      <c r="C177" s="11"/>
      <c r="D177" s="14"/>
      <c r="E177" s="11"/>
      <c r="F177" s="11"/>
      <c r="G177" s="11"/>
      <c r="H177" s="11"/>
      <c r="I177" s="11"/>
      <c r="J177" s="18" t="s">
        <v>157</v>
      </c>
      <c r="K177" s="17">
        <v>1</v>
      </c>
      <c r="L177" s="10">
        <f>M153+M159+M165+M170+M175</f>
        <v>0</v>
      </c>
      <c r="M177" s="10">
        <f>ROUND(L177*K177,2)</f>
        <v>0</v>
      </c>
    </row>
    <row r="178" spans="1:13" x14ac:dyDescent="0.25">
      <c r="A178" s="19"/>
      <c r="B178" s="19"/>
      <c r="C178" s="19"/>
      <c r="D178" s="26"/>
      <c r="E178" s="19"/>
      <c r="F178" s="19"/>
      <c r="G178" s="19"/>
      <c r="H178" s="19"/>
      <c r="I178" s="19"/>
      <c r="J178" s="19"/>
      <c r="K178" s="19"/>
      <c r="L178" s="19"/>
      <c r="M178" s="19"/>
    </row>
    <row r="179" spans="1:13" x14ac:dyDescent="0.25">
      <c r="A179" s="12" t="s">
        <v>158</v>
      </c>
      <c r="B179" s="12" t="s">
        <v>17</v>
      </c>
      <c r="C179" s="12" t="s">
        <v>39</v>
      </c>
      <c r="D179" s="24" t="s">
        <v>159</v>
      </c>
      <c r="E179" s="13"/>
      <c r="F179" s="13"/>
      <c r="G179" s="13"/>
      <c r="H179" s="13"/>
      <c r="I179" s="13"/>
      <c r="J179" s="13"/>
      <c r="K179" s="10">
        <f>K220</f>
        <v>1</v>
      </c>
      <c r="L179" s="10">
        <f>L220</f>
        <v>0</v>
      </c>
      <c r="M179" s="10">
        <f>M220</f>
        <v>0</v>
      </c>
    </row>
    <row r="180" spans="1:13" x14ac:dyDescent="0.25">
      <c r="A180" s="11"/>
      <c r="B180" s="11"/>
      <c r="C180" s="11"/>
      <c r="D180" s="14"/>
      <c r="E180" s="11"/>
      <c r="F180" s="11"/>
      <c r="G180" s="11"/>
      <c r="H180" s="11"/>
      <c r="I180" s="11"/>
      <c r="J180" s="11"/>
      <c r="K180" s="11"/>
      <c r="L180" s="11"/>
      <c r="M180" s="11"/>
    </row>
    <row r="181" spans="1:13" x14ac:dyDescent="0.25">
      <c r="A181" s="15" t="s">
        <v>160</v>
      </c>
      <c r="B181" s="15" t="s">
        <v>24</v>
      </c>
      <c r="C181" s="15" t="s">
        <v>18</v>
      </c>
      <c r="D181" s="25" t="s">
        <v>161</v>
      </c>
      <c r="E181" s="11"/>
      <c r="F181" s="11"/>
      <c r="G181" s="11"/>
      <c r="H181" s="11"/>
      <c r="I181" s="11"/>
      <c r="J181" s="11"/>
      <c r="K181" s="16">
        <f>K185</f>
        <v>2</v>
      </c>
      <c r="L181" s="16">
        <f>L185</f>
        <v>0</v>
      </c>
      <c r="M181" s="16">
        <f>M185</f>
        <v>0</v>
      </c>
    </row>
    <row r="182" spans="1:13" ht="45" x14ac:dyDescent="0.25">
      <c r="A182" s="11"/>
      <c r="B182" s="11"/>
      <c r="C182" s="11"/>
      <c r="D182" s="14" t="s">
        <v>162</v>
      </c>
      <c r="E182" s="11"/>
      <c r="F182" s="11"/>
      <c r="G182" s="11"/>
      <c r="H182" s="11"/>
      <c r="I182" s="11"/>
      <c r="J182" s="11"/>
      <c r="K182" s="11"/>
      <c r="L182" s="11"/>
      <c r="M182" s="11"/>
    </row>
    <row r="183" spans="1:13" x14ac:dyDescent="0.25">
      <c r="A183" s="11"/>
      <c r="B183" s="11"/>
      <c r="C183" s="11"/>
      <c r="D183" s="14"/>
      <c r="E183" s="15" t="s">
        <v>163</v>
      </c>
      <c r="F183" s="11">
        <v>0</v>
      </c>
      <c r="G183" s="17">
        <v>0</v>
      </c>
      <c r="H183" s="17">
        <v>0</v>
      </c>
      <c r="I183" s="17">
        <v>0</v>
      </c>
      <c r="J183" s="16">
        <f>F183*(G183+ (G183= 0))*(H183+ (H183= 0))*(I183+ (I183= 0))</f>
        <v>0</v>
      </c>
      <c r="K183" s="11"/>
      <c r="L183" s="11"/>
      <c r="M183" s="11"/>
    </row>
    <row r="184" spans="1:13" x14ac:dyDescent="0.25">
      <c r="A184" s="11"/>
      <c r="B184" s="11"/>
      <c r="C184" s="11"/>
      <c r="D184" s="14"/>
      <c r="E184" s="15" t="s">
        <v>142</v>
      </c>
      <c r="F184" s="11">
        <v>2</v>
      </c>
      <c r="G184" s="17">
        <v>0</v>
      </c>
      <c r="H184" s="17">
        <v>0</v>
      </c>
      <c r="I184" s="17">
        <v>0</v>
      </c>
      <c r="J184" s="16">
        <f>F184*(G184+ (G184= 0))*(H184+ (H184= 0))*(I184+ (I184= 0))</f>
        <v>2</v>
      </c>
      <c r="K184" s="11"/>
      <c r="L184" s="11"/>
      <c r="M184" s="11"/>
    </row>
    <row r="185" spans="1:13" x14ac:dyDescent="0.25">
      <c r="A185" s="11"/>
      <c r="B185" s="11"/>
      <c r="C185" s="11"/>
      <c r="D185" s="14"/>
      <c r="E185" s="11"/>
      <c r="F185" s="11"/>
      <c r="G185" s="11"/>
      <c r="H185" s="11"/>
      <c r="I185" s="11"/>
      <c r="J185" s="18" t="s">
        <v>160</v>
      </c>
      <c r="K185" s="10">
        <f>SUM(J183:J184)</f>
        <v>2</v>
      </c>
      <c r="L185" s="17">
        <v>0</v>
      </c>
      <c r="M185" s="10">
        <f>ROUND(L185*K185,2)</f>
        <v>0</v>
      </c>
    </row>
    <row r="186" spans="1:13" x14ac:dyDescent="0.25">
      <c r="A186" s="19"/>
      <c r="B186" s="19"/>
      <c r="C186" s="19"/>
      <c r="D186" s="26"/>
      <c r="E186" s="19"/>
      <c r="F186" s="19"/>
      <c r="G186" s="19"/>
      <c r="H186" s="19"/>
      <c r="I186" s="19"/>
      <c r="J186" s="19"/>
      <c r="K186" s="19"/>
      <c r="L186" s="19"/>
      <c r="M186" s="19"/>
    </row>
    <row r="187" spans="1:13" x14ac:dyDescent="0.25">
      <c r="A187" s="15" t="s">
        <v>164</v>
      </c>
      <c r="B187" s="15" t="s">
        <v>24</v>
      </c>
      <c r="C187" s="15" t="s">
        <v>18</v>
      </c>
      <c r="D187" s="25" t="s">
        <v>165</v>
      </c>
      <c r="E187" s="11"/>
      <c r="F187" s="11"/>
      <c r="G187" s="11"/>
      <c r="H187" s="11"/>
      <c r="I187" s="11"/>
      <c r="J187" s="11"/>
      <c r="K187" s="16">
        <f>K190</f>
        <v>4</v>
      </c>
      <c r="L187" s="16">
        <f>L190</f>
        <v>0</v>
      </c>
      <c r="M187" s="16">
        <f>M190</f>
        <v>0</v>
      </c>
    </row>
    <row r="188" spans="1:13" ht="33.75" x14ac:dyDescent="0.25">
      <c r="A188" s="11"/>
      <c r="B188" s="11"/>
      <c r="C188" s="11"/>
      <c r="D188" s="14" t="s">
        <v>166</v>
      </c>
      <c r="E188" s="11"/>
      <c r="F188" s="11"/>
      <c r="G188" s="11"/>
      <c r="H188" s="11"/>
      <c r="I188" s="11"/>
      <c r="J188" s="11"/>
      <c r="K188" s="11"/>
      <c r="L188" s="11"/>
      <c r="M188" s="11"/>
    </row>
    <row r="189" spans="1:13" x14ac:dyDescent="0.25">
      <c r="A189" s="11"/>
      <c r="B189" s="11"/>
      <c r="C189" s="11"/>
      <c r="D189" s="14"/>
      <c r="E189" s="15" t="s">
        <v>142</v>
      </c>
      <c r="F189" s="11">
        <v>4</v>
      </c>
      <c r="G189" s="17">
        <v>0</v>
      </c>
      <c r="H189" s="17">
        <v>0</v>
      </c>
      <c r="I189" s="17">
        <v>0</v>
      </c>
      <c r="J189" s="16">
        <f>F189*(G189+ (G189= 0))*(H189+ (H189= 0))*(I189+ (I189= 0))</f>
        <v>4</v>
      </c>
      <c r="K189" s="11"/>
      <c r="L189" s="11"/>
      <c r="M189" s="11"/>
    </row>
    <row r="190" spans="1:13" x14ac:dyDescent="0.25">
      <c r="A190" s="11"/>
      <c r="B190" s="11"/>
      <c r="C190" s="11"/>
      <c r="D190" s="14"/>
      <c r="E190" s="11"/>
      <c r="F190" s="11"/>
      <c r="G190" s="11"/>
      <c r="H190" s="11"/>
      <c r="I190" s="11"/>
      <c r="J190" s="18" t="s">
        <v>167</v>
      </c>
      <c r="K190" s="10">
        <f>SUM(J189:J189)</f>
        <v>4</v>
      </c>
      <c r="L190" s="17">
        <v>0</v>
      </c>
      <c r="M190" s="10">
        <f>ROUND(L190*K190,2)</f>
        <v>0</v>
      </c>
    </row>
    <row r="191" spans="1:13" x14ac:dyDescent="0.25">
      <c r="A191" s="19"/>
      <c r="B191" s="19"/>
      <c r="C191" s="19"/>
      <c r="D191" s="26"/>
      <c r="E191" s="19"/>
      <c r="F191" s="19"/>
      <c r="G191" s="19"/>
      <c r="H191" s="19"/>
      <c r="I191" s="19"/>
      <c r="J191" s="19"/>
      <c r="K191" s="19"/>
      <c r="L191" s="19"/>
      <c r="M191" s="19"/>
    </row>
    <row r="192" spans="1:13" x14ac:dyDescent="0.25">
      <c r="A192" s="15" t="s">
        <v>123</v>
      </c>
      <c r="B192" s="15" t="s">
        <v>24</v>
      </c>
      <c r="C192" s="15" t="s">
        <v>18</v>
      </c>
      <c r="D192" s="25" t="s">
        <v>124</v>
      </c>
      <c r="E192" s="11"/>
      <c r="F192" s="11"/>
      <c r="G192" s="11"/>
      <c r="H192" s="11"/>
      <c r="I192" s="11"/>
      <c r="J192" s="11"/>
      <c r="K192" s="16">
        <f>K195</f>
        <v>288</v>
      </c>
      <c r="L192" s="16">
        <f>L195</f>
        <v>0</v>
      </c>
      <c r="M192" s="16">
        <f>M195</f>
        <v>0</v>
      </c>
    </row>
    <row r="193" spans="1:13" ht="67.5" x14ac:dyDescent="0.25">
      <c r="A193" s="11"/>
      <c r="B193" s="11"/>
      <c r="C193" s="11"/>
      <c r="D193" s="14" t="s">
        <v>125</v>
      </c>
      <c r="E193" s="11"/>
      <c r="F193" s="11"/>
      <c r="G193" s="11"/>
      <c r="H193" s="11"/>
      <c r="I193" s="11"/>
      <c r="J193" s="11"/>
      <c r="K193" s="11"/>
      <c r="L193" s="11"/>
      <c r="M193" s="11"/>
    </row>
    <row r="194" spans="1:13" x14ac:dyDescent="0.25">
      <c r="A194" s="11"/>
      <c r="B194" s="11"/>
      <c r="C194" s="11"/>
      <c r="D194" s="14"/>
      <c r="E194" s="15" t="s">
        <v>142</v>
      </c>
      <c r="F194" s="11">
        <v>6</v>
      </c>
      <c r="G194" s="17">
        <v>48</v>
      </c>
      <c r="H194" s="17">
        <v>0</v>
      </c>
      <c r="I194" s="17">
        <v>0</v>
      </c>
      <c r="J194" s="16">
        <f>F194*(G194+ (G194= 0))*(H194+ (H194= 0))*(I194+ (I194= 0))</f>
        <v>288</v>
      </c>
      <c r="K194" s="11"/>
      <c r="L194" s="11"/>
      <c r="M194" s="11"/>
    </row>
    <row r="195" spans="1:13" x14ac:dyDescent="0.25">
      <c r="A195" s="11"/>
      <c r="B195" s="11"/>
      <c r="C195" s="11"/>
      <c r="D195" s="14"/>
      <c r="E195" s="11"/>
      <c r="F195" s="11"/>
      <c r="G195" s="11"/>
      <c r="H195" s="11"/>
      <c r="I195" s="11"/>
      <c r="J195" s="18" t="s">
        <v>126</v>
      </c>
      <c r="K195" s="10">
        <f>SUM(J194:J194)</f>
        <v>288</v>
      </c>
      <c r="L195" s="17">
        <v>0</v>
      </c>
      <c r="M195" s="10">
        <f>ROUND(L195*K195,2)</f>
        <v>0</v>
      </c>
    </row>
    <row r="196" spans="1:13" x14ac:dyDescent="0.25">
      <c r="A196" s="19"/>
      <c r="B196" s="19"/>
      <c r="C196" s="19"/>
      <c r="D196" s="26"/>
      <c r="E196" s="19"/>
      <c r="F196" s="19"/>
      <c r="G196" s="19"/>
      <c r="H196" s="19"/>
      <c r="I196" s="19"/>
      <c r="J196" s="19"/>
      <c r="K196" s="19"/>
      <c r="L196" s="19"/>
      <c r="M196" s="19"/>
    </row>
    <row r="197" spans="1:13" x14ac:dyDescent="0.25">
      <c r="A197" s="15" t="s">
        <v>168</v>
      </c>
      <c r="B197" s="15" t="s">
        <v>24</v>
      </c>
      <c r="C197" s="15" t="s">
        <v>18</v>
      </c>
      <c r="D197" s="25" t="s">
        <v>169</v>
      </c>
      <c r="E197" s="11"/>
      <c r="F197" s="11"/>
      <c r="G197" s="11"/>
      <c r="H197" s="11"/>
      <c r="I197" s="11"/>
      <c r="J197" s="11"/>
      <c r="K197" s="16">
        <f>K203</f>
        <v>12</v>
      </c>
      <c r="L197" s="16">
        <f>L203</f>
        <v>0</v>
      </c>
      <c r="M197" s="16">
        <f>M203</f>
        <v>0</v>
      </c>
    </row>
    <row r="198" spans="1:13" ht="22.5" x14ac:dyDescent="0.25">
      <c r="A198" s="11"/>
      <c r="B198" s="11"/>
      <c r="C198" s="11"/>
      <c r="D198" s="14" t="s">
        <v>170</v>
      </c>
      <c r="E198" s="11"/>
      <c r="F198" s="11"/>
      <c r="G198" s="11"/>
      <c r="H198" s="11"/>
      <c r="I198" s="11"/>
      <c r="J198" s="11"/>
      <c r="K198" s="11"/>
      <c r="L198" s="11"/>
      <c r="M198" s="11"/>
    </row>
    <row r="199" spans="1:13" x14ac:dyDescent="0.25">
      <c r="A199" s="11"/>
      <c r="B199" s="11"/>
      <c r="C199" s="11"/>
      <c r="D199" s="14"/>
      <c r="E199" s="15" t="s">
        <v>111</v>
      </c>
      <c r="F199" s="11">
        <v>2</v>
      </c>
      <c r="G199" s="17">
        <v>0</v>
      </c>
      <c r="H199" s="17">
        <v>0</v>
      </c>
      <c r="I199" s="17">
        <v>0</v>
      </c>
      <c r="J199" s="16">
        <f>F199*(G199+ (G199= 0))*(H199+ (H199= 0))*(I199+ (I199= 0))</f>
        <v>2</v>
      </c>
      <c r="K199" s="11"/>
      <c r="L199" s="11"/>
      <c r="M199" s="11"/>
    </row>
    <row r="200" spans="1:13" x14ac:dyDescent="0.25">
      <c r="A200" s="11"/>
      <c r="B200" s="11"/>
      <c r="C200" s="11"/>
      <c r="D200" s="14"/>
      <c r="E200" s="15" t="s">
        <v>112</v>
      </c>
      <c r="F200" s="11">
        <v>2</v>
      </c>
      <c r="G200" s="17">
        <v>0</v>
      </c>
      <c r="H200" s="17">
        <v>0</v>
      </c>
      <c r="I200" s="17">
        <v>0</v>
      </c>
      <c r="J200" s="16">
        <f>F200*(G200+ (G200= 0))*(H200+ (H200= 0))*(I200+ (I200= 0))</f>
        <v>2</v>
      </c>
      <c r="K200" s="11"/>
      <c r="L200" s="11"/>
      <c r="M200" s="11"/>
    </row>
    <row r="201" spans="1:13" x14ac:dyDescent="0.25">
      <c r="A201" s="11"/>
      <c r="B201" s="11"/>
      <c r="C201" s="11"/>
      <c r="D201" s="14"/>
      <c r="E201" s="15" t="s">
        <v>113</v>
      </c>
      <c r="F201" s="11">
        <v>6</v>
      </c>
      <c r="G201" s="17">
        <v>0</v>
      </c>
      <c r="H201" s="17">
        <v>0</v>
      </c>
      <c r="I201" s="17">
        <v>0</v>
      </c>
      <c r="J201" s="16">
        <f>F201*(G201+ (G201= 0))*(H201+ (H201= 0))*(I201+ (I201= 0))</f>
        <v>6</v>
      </c>
      <c r="K201" s="11"/>
      <c r="L201" s="11"/>
      <c r="M201" s="11"/>
    </row>
    <row r="202" spans="1:13" x14ac:dyDescent="0.25">
      <c r="A202" s="11"/>
      <c r="B202" s="11"/>
      <c r="C202" s="11"/>
      <c r="D202" s="14"/>
      <c r="E202" s="15" t="s">
        <v>114</v>
      </c>
      <c r="F202" s="11">
        <v>2</v>
      </c>
      <c r="G202" s="17">
        <v>0</v>
      </c>
      <c r="H202" s="17">
        <v>0</v>
      </c>
      <c r="I202" s="17">
        <v>0</v>
      </c>
      <c r="J202" s="16">
        <f>F202*(G202+ (G202= 0))*(H202+ (H202= 0))*(I202+ (I202= 0))</f>
        <v>2</v>
      </c>
      <c r="K202" s="11"/>
      <c r="L202" s="11"/>
      <c r="M202" s="11"/>
    </row>
    <row r="203" spans="1:13" x14ac:dyDescent="0.25">
      <c r="A203" s="11"/>
      <c r="B203" s="11"/>
      <c r="C203" s="11"/>
      <c r="D203" s="14"/>
      <c r="E203" s="11"/>
      <c r="F203" s="11"/>
      <c r="G203" s="11"/>
      <c r="H203" s="11"/>
      <c r="I203" s="11"/>
      <c r="J203" s="18" t="s">
        <v>171</v>
      </c>
      <c r="K203" s="10">
        <f>SUM(J199:J202)</f>
        <v>12</v>
      </c>
      <c r="L203" s="17">
        <v>0</v>
      </c>
      <c r="M203" s="10">
        <f>ROUND(L203*K203,2)</f>
        <v>0</v>
      </c>
    </row>
    <row r="204" spans="1:13" x14ac:dyDescent="0.25">
      <c r="A204" s="19"/>
      <c r="B204" s="19"/>
      <c r="C204" s="19"/>
      <c r="D204" s="26"/>
      <c r="E204" s="19"/>
      <c r="F204" s="19"/>
      <c r="G204" s="19"/>
      <c r="H204" s="19"/>
      <c r="I204" s="19"/>
      <c r="J204" s="19"/>
      <c r="K204" s="19"/>
      <c r="L204" s="19"/>
      <c r="M204" s="19"/>
    </row>
    <row r="205" spans="1:13" x14ac:dyDescent="0.25">
      <c r="A205" s="15" t="s">
        <v>172</v>
      </c>
      <c r="B205" s="15" t="s">
        <v>24</v>
      </c>
      <c r="C205" s="15" t="s">
        <v>18</v>
      </c>
      <c r="D205" s="25" t="s">
        <v>173</v>
      </c>
      <c r="E205" s="11"/>
      <c r="F205" s="11"/>
      <c r="G205" s="11"/>
      <c r="H205" s="11"/>
      <c r="I205" s="11"/>
      <c r="J205" s="11"/>
      <c r="K205" s="16">
        <f>K208</f>
        <v>18</v>
      </c>
      <c r="L205" s="16">
        <f>L208</f>
        <v>0</v>
      </c>
      <c r="M205" s="16">
        <f>M208</f>
        <v>0</v>
      </c>
    </row>
    <row r="206" spans="1:13" ht="22.5" x14ac:dyDescent="0.25">
      <c r="A206" s="11"/>
      <c r="B206" s="11"/>
      <c r="C206" s="11"/>
      <c r="D206" s="14" t="s">
        <v>174</v>
      </c>
      <c r="E206" s="11"/>
      <c r="F206" s="11"/>
      <c r="G206" s="11"/>
      <c r="H206" s="11"/>
      <c r="I206" s="11"/>
      <c r="J206" s="11"/>
      <c r="K206" s="11"/>
      <c r="L206" s="11"/>
      <c r="M206" s="11"/>
    </row>
    <row r="207" spans="1:13" x14ac:dyDescent="0.25">
      <c r="A207" s="11"/>
      <c r="B207" s="11"/>
      <c r="C207" s="11"/>
      <c r="D207" s="14"/>
      <c r="E207" s="15" t="s">
        <v>39</v>
      </c>
      <c r="F207" s="11">
        <v>6</v>
      </c>
      <c r="G207" s="17">
        <v>3</v>
      </c>
      <c r="H207" s="17">
        <v>0</v>
      </c>
      <c r="I207" s="17">
        <v>0</v>
      </c>
      <c r="J207" s="16">
        <f>F207*(G207+ (G207= 0))*(H207+ (H207= 0))*(I207+ (I207= 0))</f>
        <v>18</v>
      </c>
      <c r="K207" s="11"/>
      <c r="L207" s="11"/>
      <c r="M207" s="11"/>
    </row>
    <row r="208" spans="1:13" x14ac:dyDescent="0.25">
      <c r="A208" s="11"/>
      <c r="B208" s="11"/>
      <c r="C208" s="11"/>
      <c r="D208" s="14"/>
      <c r="E208" s="11"/>
      <c r="F208" s="11"/>
      <c r="G208" s="11"/>
      <c r="H208" s="11"/>
      <c r="I208" s="11"/>
      <c r="J208" s="18" t="s">
        <v>175</v>
      </c>
      <c r="K208" s="10">
        <f>SUM(J207:J207)</f>
        <v>18</v>
      </c>
      <c r="L208" s="17">
        <v>0</v>
      </c>
      <c r="M208" s="10">
        <f>ROUND(L208*K208,2)</f>
        <v>0</v>
      </c>
    </row>
    <row r="209" spans="1:13" x14ac:dyDescent="0.25">
      <c r="A209" s="19"/>
      <c r="B209" s="19"/>
      <c r="C209" s="19"/>
      <c r="D209" s="26"/>
      <c r="E209" s="19"/>
      <c r="F209" s="19"/>
      <c r="G209" s="19"/>
      <c r="H209" s="19"/>
      <c r="I209" s="19"/>
      <c r="J209" s="19"/>
      <c r="K209" s="19"/>
      <c r="L209" s="19"/>
      <c r="M209" s="19"/>
    </row>
    <row r="210" spans="1:13" x14ac:dyDescent="0.25">
      <c r="A210" s="15" t="s">
        <v>176</v>
      </c>
      <c r="B210" s="15" t="s">
        <v>24</v>
      </c>
      <c r="C210" s="15" t="s">
        <v>18</v>
      </c>
      <c r="D210" s="25" t="s">
        <v>177</v>
      </c>
      <c r="E210" s="11"/>
      <c r="F210" s="11"/>
      <c r="G210" s="11"/>
      <c r="H210" s="11"/>
      <c r="I210" s="11"/>
      <c r="J210" s="11"/>
      <c r="K210" s="16">
        <f>K213</f>
        <v>12</v>
      </c>
      <c r="L210" s="16">
        <f>L213</f>
        <v>0</v>
      </c>
      <c r="M210" s="16">
        <f>M213</f>
        <v>0</v>
      </c>
    </row>
    <row r="211" spans="1:13" ht="22.5" x14ac:dyDescent="0.25">
      <c r="A211" s="11"/>
      <c r="B211" s="11"/>
      <c r="C211" s="11"/>
      <c r="D211" s="14" t="s">
        <v>178</v>
      </c>
      <c r="E211" s="11"/>
      <c r="F211" s="11"/>
      <c r="G211" s="11"/>
      <c r="H211" s="11"/>
      <c r="I211" s="11"/>
      <c r="J211" s="11"/>
      <c r="K211" s="11"/>
      <c r="L211" s="11"/>
      <c r="M211" s="11"/>
    </row>
    <row r="212" spans="1:13" x14ac:dyDescent="0.25">
      <c r="A212" s="11"/>
      <c r="B212" s="11"/>
      <c r="C212" s="11"/>
      <c r="D212" s="14"/>
      <c r="E212" s="15" t="s">
        <v>142</v>
      </c>
      <c r="F212" s="11">
        <v>1</v>
      </c>
      <c r="G212" s="17">
        <v>12</v>
      </c>
      <c r="H212" s="17">
        <v>0</v>
      </c>
      <c r="I212" s="17">
        <v>0</v>
      </c>
      <c r="J212" s="16">
        <f>F212*(G212+ (G212= 0))*(H212+ (H212= 0))*(I212+ (I212= 0))</f>
        <v>12</v>
      </c>
      <c r="K212" s="11"/>
      <c r="L212" s="11"/>
      <c r="M212" s="11"/>
    </row>
    <row r="213" spans="1:13" x14ac:dyDescent="0.25">
      <c r="A213" s="11"/>
      <c r="B213" s="11"/>
      <c r="C213" s="11"/>
      <c r="D213" s="14"/>
      <c r="E213" s="11"/>
      <c r="F213" s="11"/>
      <c r="G213" s="11"/>
      <c r="H213" s="11"/>
      <c r="I213" s="11"/>
      <c r="J213" s="18" t="s">
        <v>179</v>
      </c>
      <c r="K213" s="10">
        <f>SUM(J212:J212)</f>
        <v>12</v>
      </c>
      <c r="L213" s="17">
        <v>0</v>
      </c>
      <c r="M213" s="10">
        <f>ROUND(L213*K213,2)</f>
        <v>0</v>
      </c>
    </row>
    <row r="214" spans="1:13" x14ac:dyDescent="0.25">
      <c r="A214" s="19"/>
      <c r="B214" s="19"/>
      <c r="C214" s="19"/>
      <c r="D214" s="26"/>
      <c r="E214" s="19"/>
      <c r="F214" s="19"/>
      <c r="G214" s="19"/>
      <c r="H214" s="19"/>
      <c r="I214" s="19"/>
      <c r="J214" s="19"/>
      <c r="K214" s="19"/>
      <c r="L214" s="19"/>
      <c r="M214" s="19"/>
    </row>
    <row r="215" spans="1:13" x14ac:dyDescent="0.25">
      <c r="A215" s="15" t="s">
        <v>180</v>
      </c>
      <c r="B215" s="15" t="s">
        <v>24</v>
      </c>
      <c r="C215" s="15" t="s">
        <v>18</v>
      </c>
      <c r="D215" s="25" t="s">
        <v>181</v>
      </c>
      <c r="E215" s="11"/>
      <c r="F215" s="11"/>
      <c r="G215" s="11"/>
      <c r="H215" s="11"/>
      <c r="I215" s="11"/>
      <c r="J215" s="11"/>
      <c r="K215" s="16">
        <f>K218</f>
        <v>12</v>
      </c>
      <c r="L215" s="16">
        <f>L218</f>
        <v>0</v>
      </c>
      <c r="M215" s="16">
        <f>M218</f>
        <v>0</v>
      </c>
    </row>
    <row r="216" spans="1:13" ht="22.5" x14ac:dyDescent="0.25">
      <c r="A216" s="11"/>
      <c r="B216" s="11"/>
      <c r="C216" s="11"/>
      <c r="D216" s="14" t="s">
        <v>182</v>
      </c>
      <c r="E216" s="11"/>
      <c r="F216" s="11"/>
      <c r="G216" s="11"/>
      <c r="H216" s="11"/>
      <c r="I216" s="11"/>
      <c r="J216" s="11"/>
      <c r="K216" s="11"/>
      <c r="L216" s="11"/>
      <c r="M216" s="11"/>
    </row>
    <row r="217" spans="1:13" x14ac:dyDescent="0.25">
      <c r="A217" s="11"/>
      <c r="B217" s="11"/>
      <c r="C217" s="11"/>
      <c r="D217" s="14"/>
      <c r="E217" s="15" t="s">
        <v>142</v>
      </c>
      <c r="F217" s="11">
        <v>1</v>
      </c>
      <c r="G217" s="17">
        <v>12</v>
      </c>
      <c r="H217" s="17">
        <v>0</v>
      </c>
      <c r="I217" s="17">
        <v>0</v>
      </c>
      <c r="J217" s="16">
        <f>F217*(G217+ (G217= 0))*(H217+ (H217= 0))*(I217+ (I217= 0))</f>
        <v>12</v>
      </c>
      <c r="K217" s="11"/>
      <c r="L217" s="11"/>
      <c r="M217" s="11"/>
    </row>
    <row r="218" spans="1:13" x14ac:dyDescent="0.25">
      <c r="A218" s="11"/>
      <c r="B218" s="11"/>
      <c r="C218" s="11"/>
      <c r="D218" s="14"/>
      <c r="E218" s="11"/>
      <c r="F218" s="11"/>
      <c r="G218" s="11"/>
      <c r="H218" s="11"/>
      <c r="I218" s="11"/>
      <c r="J218" s="18" t="s">
        <v>183</v>
      </c>
      <c r="K218" s="10">
        <f>SUM(J217:J217)</f>
        <v>12</v>
      </c>
      <c r="L218" s="17">
        <v>0</v>
      </c>
      <c r="M218" s="10">
        <f>ROUND(L218*K218,2)</f>
        <v>0</v>
      </c>
    </row>
    <row r="219" spans="1:13" x14ac:dyDescent="0.25">
      <c r="A219" s="19"/>
      <c r="B219" s="19"/>
      <c r="C219" s="19"/>
      <c r="D219" s="26"/>
      <c r="E219" s="19"/>
      <c r="F219" s="19"/>
      <c r="G219" s="19"/>
      <c r="H219" s="19"/>
      <c r="I219" s="19"/>
      <c r="J219" s="19"/>
      <c r="K219" s="19"/>
      <c r="L219" s="19"/>
      <c r="M219" s="19"/>
    </row>
    <row r="220" spans="1:13" x14ac:dyDescent="0.25">
      <c r="A220" s="11"/>
      <c r="B220" s="11"/>
      <c r="C220" s="11"/>
      <c r="D220" s="14"/>
      <c r="E220" s="11"/>
      <c r="F220" s="11"/>
      <c r="G220" s="11"/>
      <c r="H220" s="11"/>
      <c r="I220" s="11"/>
      <c r="J220" s="18" t="s">
        <v>184</v>
      </c>
      <c r="K220" s="17">
        <v>1</v>
      </c>
      <c r="L220" s="10">
        <f>M185+M190+M195+M203+M208+M213+M218</f>
        <v>0</v>
      </c>
      <c r="M220" s="10">
        <f>ROUND(L220*K220,2)</f>
        <v>0</v>
      </c>
    </row>
    <row r="221" spans="1:13" x14ac:dyDescent="0.25">
      <c r="A221" s="19"/>
      <c r="B221" s="19"/>
      <c r="C221" s="19"/>
      <c r="D221" s="26"/>
      <c r="E221" s="19"/>
      <c r="F221" s="19"/>
      <c r="G221" s="19"/>
      <c r="H221" s="19"/>
      <c r="I221" s="19"/>
      <c r="J221" s="19"/>
      <c r="K221" s="19"/>
      <c r="L221" s="19"/>
      <c r="M221" s="19"/>
    </row>
    <row r="222" spans="1:13" x14ac:dyDescent="0.25">
      <c r="A222" s="11"/>
      <c r="B222" s="11"/>
      <c r="C222" s="11"/>
      <c r="D222" s="14"/>
      <c r="E222" s="11"/>
      <c r="F222" s="11"/>
      <c r="G222" s="11"/>
      <c r="H222" s="11"/>
      <c r="I222" s="11"/>
      <c r="J222" s="18" t="s">
        <v>185</v>
      </c>
      <c r="K222" s="17">
        <v>1</v>
      </c>
      <c r="L222" s="10">
        <f>M177+M220</f>
        <v>0</v>
      </c>
      <c r="M222" s="10">
        <f>ROUND(L222*K222,2)</f>
        <v>0</v>
      </c>
    </row>
    <row r="223" spans="1:13" x14ac:dyDescent="0.25">
      <c r="A223" s="19"/>
      <c r="B223" s="19"/>
      <c r="C223" s="19"/>
      <c r="D223" s="26"/>
      <c r="E223" s="19"/>
      <c r="F223" s="19"/>
      <c r="G223" s="19"/>
      <c r="H223" s="19"/>
      <c r="I223" s="19"/>
      <c r="J223" s="19"/>
      <c r="K223" s="19"/>
      <c r="L223" s="19"/>
      <c r="M223" s="19"/>
    </row>
    <row r="224" spans="1:13" x14ac:dyDescent="0.25">
      <c r="A224" s="12" t="s">
        <v>186</v>
      </c>
      <c r="B224" s="12" t="s">
        <v>17</v>
      </c>
      <c r="C224" s="12" t="s">
        <v>18</v>
      </c>
      <c r="D224" s="24" t="s">
        <v>187</v>
      </c>
      <c r="E224" s="13"/>
      <c r="F224" s="13"/>
      <c r="G224" s="13"/>
      <c r="H224" s="13"/>
      <c r="I224" s="13"/>
      <c r="J224" s="13"/>
      <c r="K224" s="10">
        <f>K241</f>
        <v>1</v>
      </c>
      <c r="L224" s="10">
        <f>L241</f>
        <v>0</v>
      </c>
      <c r="M224" s="10">
        <f>M241</f>
        <v>0</v>
      </c>
    </row>
    <row r="225" spans="1:13" ht="33.75" x14ac:dyDescent="0.25">
      <c r="A225" s="11"/>
      <c r="B225" s="11"/>
      <c r="C225" s="11"/>
      <c r="D225" s="14" t="s">
        <v>188</v>
      </c>
      <c r="E225" s="11"/>
      <c r="F225" s="11"/>
      <c r="G225" s="11"/>
      <c r="H225" s="11"/>
      <c r="I225" s="11"/>
      <c r="J225" s="11"/>
      <c r="K225" s="11"/>
      <c r="L225" s="11"/>
      <c r="M225" s="11"/>
    </row>
    <row r="226" spans="1:13" x14ac:dyDescent="0.25">
      <c r="A226" s="15" t="s">
        <v>189</v>
      </c>
      <c r="B226" s="15" t="s">
        <v>24</v>
      </c>
      <c r="C226" s="15" t="s">
        <v>18</v>
      </c>
      <c r="D226" s="25" t="s">
        <v>190</v>
      </c>
      <c r="E226" s="11"/>
      <c r="F226" s="11"/>
      <c r="G226" s="11"/>
      <c r="H226" s="11"/>
      <c r="I226" s="11"/>
      <c r="J226" s="11"/>
      <c r="K226" s="16">
        <f>K229</f>
        <v>3</v>
      </c>
      <c r="L226" s="16">
        <f>L229</f>
        <v>0</v>
      </c>
      <c r="M226" s="16">
        <f>M229</f>
        <v>0</v>
      </c>
    </row>
    <row r="227" spans="1:13" ht="22.5" x14ac:dyDescent="0.25">
      <c r="A227" s="11"/>
      <c r="B227" s="11"/>
      <c r="C227" s="11"/>
      <c r="D227" s="14" t="s">
        <v>191</v>
      </c>
      <c r="E227" s="11"/>
      <c r="F227" s="11"/>
      <c r="G227" s="11"/>
      <c r="H227" s="11"/>
      <c r="I227" s="11"/>
      <c r="J227" s="11"/>
      <c r="K227" s="11"/>
      <c r="L227" s="11"/>
      <c r="M227" s="11"/>
    </row>
    <row r="228" spans="1:13" x14ac:dyDescent="0.25">
      <c r="A228" s="11"/>
      <c r="B228" s="11"/>
      <c r="C228" s="11"/>
      <c r="D228" s="14"/>
      <c r="E228" s="15" t="s">
        <v>192</v>
      </c>
      <c r="F228" s="11">
        <v>3</v>
      </c>
      <c r="G228" s="17">
        <v>0</v>
      </c>
      <c r="H228" s="17">
        <v>0</v>
      </c>
      <c r="I228" s="17">
        <v>0</v>
      </c>
      <c r="J228" s="16">
        <f>F228*(G228+ (G228= 0))*(H228+ (H228= 0))*(I228+ (I228= 0))</f>
        <v>3</v>
      </c>
      <c r="K228" s="11"/>
      <c r="L228" s="11"/>
      <c r="M228" s="11"/>
    </row>
    <row r="229" spans="1:13" x14ac:dyDescent="0.25">
      <c r="A229" s="11"/>
      <c r="B229" s="11"/>
      <c r="C229" s="11"/>
      <c r="D229" s="14"/>
      <c r="E229" s="11"/>
      <c r="F229" s="11"/>
      <c r="G229" s="11"/>
      <c r="H229" s="11"/>
      <c r="I229" s="11"/>
      <c r="J229" s="18" t="s">
        <v>193</v>
      </c>
      <c r="K229" s="10">
        <f>SUM(J228:J228)</f>
        <v>3</v>
      </c>
      <c r="L229" s="17">
        <v>0</v>
      </c>
      <c r="M229" s="10">
        <f>ROUND(L229*K229,2)</f>
        <v>0</v>
      </c>
    </row>
    <row r="230" spans="1:13" x14ac:dyDescent="0.25">
      <c r="A230" s="19"/>
      <c r="B230" s="19"/>
      <c r="C230" s="19"/>
      <c r="D230" s="26"/>
      <c r="E230" s="19"/>
      <c r="F230" s="19"/>
      <c r="G230" s="19"/>
      <c r="H230" s="19"/>
      <c r="I230" s="19"/>
      <c r="J230" s="19"/>
      <c r="K230" s="19"/>
      <c r="L230" s="19"/>
      <c r="M230" s="19"/>
    </row>
    <row r="231" spans="1:13" x14ac:dyDescent="0.25">
      <c r="A231" s="15" t="s">
        <v>194</v>
      </c>
      <c r="B231" s="15" t="s">
        <v>24</v>
      </c>
      <c r="C231" s="15" t="s">
        <v>18</v>
      </c>
      <c r="D231" s="25" t="s">
        <v>195</v>
      </c>
      <c r="E231" s="11"/>
      <c r="F231" s="11"/>
      <c r="G231" s="11"/>
      <c r="H231" s="11"/>
      <c r="I231" s="11"/>
      <c r="J231" s="11"/>
      <c r="K231" s="16">
        <f>K234</f>
        <v>3</v>
      </c>
      <c r="L231" s="16">
        <f>L234</f>
        <v>0</v>
      </c>
      <c r="M231" s="16">
        <f>M234</f>
        <v>0</v>
      </c>
    </row>
    <row r="232" spans="1:13" ht="101.25" x14ac:dyDescent="0.25">
      <c r="A232" s="11"/>
      <c r="B232" s="11"/>
      <c r="C232" s="11"/>
      <c r="D232" s="14" t="s">
        <v>196</v>
      </c>
      <c r="E232" s="11"/>
      <c r="F232" s="11"/>
      <c r="G232" s="11"/>
      <c r="H232" s="11"/>
      <c r="I232" s="11"/>
      <c r="J232" s="11"/>
      <c r="K232" s="11"/>
      <c r="L232" s="11"/>
      <c r="M232" s="11"/>
    </row>
    <row r="233" spans="1:13" x14ac:dyDescent="0.25">
      <c r="A233" s="11"/>
      <c r="B233" s="11"/>
      <c r="C233" s="11"/>
      <c r="D233" s="14"/>
      <c r="E233" s="15" t="s">
        <v>192</v>
      </c>
      <c r="F233" s="11">
        <v>3</v>
      </c>
      <c r="G233" s="17">
        <v>0</v>
      </c>
      <c r="H233" s="17">
        <v>0</v>
      </c>
      <c r="I233" s="17">
        <v>0</v>
      </c>
      <c r="J233" s="16">
        <f>F233*(G233+ (G233= 0))*(H233+ (H233= 0))*(I233+ (I233= 0))</f>
        <v>3</v>
      </c>
      <c r="K233" s="11"/>
      <c r="L233" s="11"/>
      <c r="M233" s="11"/>
    </row>
    <row r="234" spans="1:13" x14ac:dyDescent="0.25">
      <c r="A234" s="11"/>
      <c r="B234" s="11"/>
      <c r="C234" s="11"/>
      <c r="D234" s="14"/>
      <c r="E234" s="11"/>
      <c r="F234" s="11"/>
      <c r="G234" s="11"/>
      <c r="H234" s="11"/>
      <c r="I234" s="11"/>
      <c r="J234" s="18" t="s">
        <v>194</v>
      </c>
      <c r="K234" s="10">
        <f>SUM(J233:J233)</f>
        <v>3</v>
      </c>
      <c r="L234" s="17">
        <v>0</v>
      </c>
      <c r="M234" s="10">
        <f>ROUND(L234*K234,2)</f>
        <v>0</v>
      </c>
    </row>
    <row r="235" spans="1:13" x14ac:dyDescent="0.25">
      <c r="A235" s="19"/>
      <c r="B235" s="19"/>
      <c r="C235" s="19"/>
      <c r="D235" s="26"/>
      <c r="E235" s="19"/>
      <c r="F235" s="19"/>
      <c r="G235" s="19"/>
      <c r="H235" s="19"/>
      <c r="I235" s="19"/>
      <c r="J235" s="19"/>
      <c r="K235" s="19"/>
      <c r="L235" s="19"/>
      <c r="M235" s="19"/>
    </row>
    <row r="236" spans="1:13" x14ac:dyDescent="0.25">
      <c r="A236" s="15" t="s">
        <v>197</v>
      </c>
      <c r="B236" s="15" t="s">
        <v>24</v>
      </c>
      <c r="C236" s="15" t="s">
        <v>18</v>
      </c>
      <c r="D236" s="25" t="s">
        <v>198</v>
      </c>
      <c r="E236" s="11"/>
      <c r="F236" s="11"/>
      <c r="G236" s="11"/>
      <c r="H236" s="11"/>
      <c r="I236" s="11"/>
      <c r="J236" s="11"/>
      <c r="K236" s="16">
        <f>K239</f>
        <v>1</v>
      </c>
      <c r="L236" s="16">
        <f>L239</f>
        <v>0</v>
      </c>
      <c r="M236" s="16">
        <f>M239</f>
        <v>0</v>
      </c>
    </row>
    <row r="237" spans="1:13" ht="22.5" x14ac:dyDescent="0.25">
      <c r="A237" s="11"/>
      <c r="B237" s="11"/>
      <c r="C237" s="11"/>
      <c r="D237" s="14" t="s">
        <v>199</v>
      </c>
      <c r="E237" s="11"/>
      <c r="F237" s="11"/>
      <c r="G237" s="11"/>
      <c r="H237" s="11"/>
      <c r="I237" s="11"/>
      <c r="J237" s="11"/>
      <c r="K237" s="11"/>
      <c r="L237" s="11"/>
      <c r="M237" s="11"/>
    </row>
    <row r="238" spans="1:13" x14ac:dyDescent="0.25">
      <c r="A238" s="11"/>
      <c r="B238" s="11"/>
      <c r="C238" s="11"/>
      <c r="D238" s="14"/>
      <c r="E238" s="15" t="s">
        <v>39</v>
      </c>
      <c r="F238" s="11">
        <v>1</v>
      </c>
      <c r="G238" s="17">
        <v>0</v>
      </c>
      <c r="H238" s="17">
        <v>0</v>
      </c>
      <c r="I238" s="17">
        <v>0</v>
      </c>
      <c r="J238" s="16">
        <f>F238*(G238+ (G238= 0))*(H238+ (H238= 0))*(I238+ (I238= 0))</f>
        <v>1</v>
      </c>
      <c r="K238" s="11"/>
      <c r="L238" s="11"/>
      <c r="M238" s="11"/>
    </row>
    <row r="239" spans="1:13" x14ac:dyDescent="0.25">
      <c r="A239" s="11"/>
      <c r="B239" s="11"/>
      <c r="C239" s="11"/>
      <c r="D239" s="14"/>
      <c r="E239" s="11"/>
      <c r="F239" s="11"/>
      <c r="G239" s="11"/>
      <c r="H239" s="11"/>
      <c r="I239" s="11"/>
      <c r="J239" s="18" t="s">
        <v>200</v>
      </c>
      <c r="K239" s="10">
        <f>SUM(J238:J238)</f>
        <v>1</v>
      </c>
      <c r="L239" s="17">
        <v>0</v>
      </c>
      <c r="M239" s="10">
        <f>ROUND(L239*K239,2)</f>
        <v>0</v>
      </c>
    </row>
    <row r="240" spans="1:13" x14ac:dyDescent="0.25">
      <c r="A240" s="19"/>
      <c r="B240" s="19"/>
      <c r="C240" s="19"/>
      <c r="D240" s="26"/>
      <c r="E240" s="19"/>
      <c r="F240" s="19"/>
      <c r="G240" s="19"/>
      <c r="H240" s="19"/>
      <c r="I240" s="19"/>
      <c r="J240" s="19"/>
      <c r="K240" s="19"/>
      <c r="L240" s="19"/>
      <c r="M240" s="19"/>
    </row>
    <row r="241" spans="1:13" x14ac:dyDescent="0.25">
      <c r="A241" s="11"/>
      <c r="B241" s="11"/>
      <c r="C241" s="11"/>
      <c r="D241" s="14"/>
      <c r="E241" s="11"/>
      <c r="F241" s="11"/>
      <c r="G241" s="11"/>
      <c r="H241" s="11"/>
      <c r="I241" s="11"/>
      <c r="J241" s="18" t="s">
        <v>201</v>
      </c>
      <c r="K241" s="17">
        <v>1</v>
      </c>
      <c r="L241" s="10">
        <f>M229+M234+M239</f>
        <v>0</v>
      </c>
      <c r="M241" s="10">
        <f>ROUND(L241*K241,2)</f>
        <v>0</v>
      </c>
    </row>
    <row r="242" spans="1:13" x14ac:dyDescent="0.25">
      <c r="A242" s="19"/>
      <c r="B242" s="19"/>
      <c r="C242" s="19"/>
      <c r="D242" s="26"/>
      <c r="E242" s="19"/>
      <c r="F242" s="19"/>
      <c r="G242" s="19"/>
      <c r="H242" s="19"/>
      <c r="I242" s="19"/>
      <c r="J242" s="19"/>
      <c r="K242" s="19"/>
      <c r="L242" s="19"/>
      <c r="M242" s="19"/>
    </row>
    <row r="243" spans="1:13" x14ac:dyDescent="0.25">
      <c r="A243" s="12" t="s">
        <v>202</v>
      </c>
      <c r="B243" s="12" t="s">
        <v>17</v>
      </c>
      <c r="C243" s="12" t="s">
        <v>18</v>
      </c>
      <c r="D243" s="24" t="s">
        <v>203</v>
      </c>
      <c r="E243" s="13"/>
      <c r="F243" s="13"/>
      <c r="G243" s="13"/>
      <c r="H243" s="13"/>
      <c r="I243" s="13"/>
      <c r="J243" s="13"/>
      <c r="K243" s="10">
        <f>K255</f>
        <v>1</v>
      </c>
      <c r="L243" s="10">
        <f>L255</f>
        <v>0</v>
      </c>
      <c r="M243" s="10">
        <f>M255</f>
        <v>0</v>
      </c>
    </row>
    <row r="244" spans="1:13" x14ac:dyDescent="0.25">
      <c r="A244" s="11"/>
      <c r="B244" s="11"/>
      <c r="C244" s="11"/>
      <c r="D244" s="14"/>
      <c r="E244" s="11"/>
      <c r="F244" s="11"/>
      <c r="G244" s="11"/>
      <c r="H244" s="11"/>
      <c r="I244" s="11"/>
      <c r="J244" s="11"/>
      <c r="K244" s="11"/>
      <c r="L244" s="11"/>
      <c r="M244" s="11"/>
    </row>
    <row r="245" spans="1:13" x14ac:dyDescent="0.25">
      <c r="A245" s="15" t="s">
        <v>204</v>
      </c>
      <c r="B245" s="15" t="s">
        <v>24</v>
      </c>
      <c r="C245" s="15" t="s">
        <v>18</v>
      </c>
      <c r="D245" s="25" t="s">
        <v>205</v>
      </c>
      <c r="E245" s="11"/>
      <c r="F245" s="11"/>
      <c r="G245" s="11"/>
      <c r="H245" s="11"/>
      <c r="I245" s="11"/>
      <c r="J245" s="11"/>
      <c r="K245" s="16">
        <f>K248</f>
        <v>1</v>
      </c>
      <c r="L245" s="16">
        <f>L248</f>
        <v>0</v>
      </c>
      <c r="M245" s="16">
        <f>M248</f>
        <v>0</v>
      </c>
    </row>
    <row r="246" spans="1:13" ht="33.75" x14ac:dyDescent="0.25">
      <c r="A246" s="11"/>
      <c r="B246" s="11"/>
      <c r="C246" s="11"/>
      <c r="D246" s="14" t="s">
        <v>206</v>
      </c>
      <c r="E246" s="11"/>
      <c r="F246" s="11"/>
      <c r="G246" s="11"/>
      <c r="H246" s="11"/>
      <c r="I246" s="11"/>
      <c r="J246" s="11"/>
      <c r="K246" s="11"/>
      <c r="L246" s="11"/>
      <c r="M246" s="11"/>
    </row>
    <row r="247" spans="1:13" x14ac:dyDescent="0.25">
      <c r="A247" s="11"/>
      <c r="B247" s="11"/>
      <c r="C247" s="11"/>
      <c r="D247" s="14"/>
      <c r="E247" s="15" t="s">
        <v>39</v>
      </c>
      <c r="F247" s="11">
        <v>1</v>
      </c>
      <c r="G247" s="17">
        <v>0</v>
      </c>
      <c r="H247" s="17">
        <v>0</v>
      </c>
      <c r="I247" s="17">
        <v>0</v>
      </c>
      <c r="J247" s="16">
        <f>F247*(G247+ (G247= 0))*(H247+ (H247= 0))*(I247+ (I247= 0))</f>
        <v>1</v>
      </c>
      <c r="K247" s="11"/>
      <c r="L247" s="11"/>
      <c r="M247" s="11"/>
    </row>
    <row r="248" spans="1:13" x14ac:dyDescent="0.25">
      <c r="A248" s="11"/>
      <c r="B248" s="11"/>
      <c r="C248" s="11"/>
      <c r="D248" s="14"/>
      <c r="E248" s="11"/>
      <c r="F248" s="11"/>
      <c r="G248" s="11"/>
      <c r="H248" s="11"/>
      <c r="I248" s="11"/>
      <c r="J248" s="18" t="s">
        <v>207</v>
      </c>
      <c r="K248" s="10">
        <f>SUM(J247:J247)</f>
        <v>1</v>
      </c>
      <c r="L248" s="17">
        <v>0</v>
      </c>
      <c r="M248" s="10">
        <f>ROUND(L248*K248,2)</f>
        <v>0</v>
      </c>
    </row>
    <row r="249" spans="1:13" x14ac:dyDescent="0.25">
      <c r="A249" s="19"/>
      <c r="B249" s="19"/>
      <c r="C249" s="19"/>
      <c r="D249" s="26"/>
      <c r="E249" s="19"/>
      <c r="F249" s="19"/>
      <c r="G249" s="19"/>
      <c r="H249" s="19"/>
      <c r="I249" s="19"/>
      <c r="J249" s="19"/>
      <c r="K249" s="19"/>
      <c r="L249" s="19"/>
      <c r="M249" s="19"/>
    </row>
    <row r="250" spans="1:13" x14ac:dyDescent="0.25">
      <c r="A250" s="15" t="s">
        <v>208</v>
      </c>
      <c r="B250" s="15" t="s">
        <v>24</v>
      </c>
      <c r="C250" s="15" t="s">
        <v>18</v>
      </c>
      <c r="D250" s="25" t="s">
        <v>209</v>
      </c>
      <c r="E250" s="11"/>
      <c r="F250" s="11"/>
      <c r="G250" s="11"/>
      <c r="H250" s="11"/>
      <c r="I250" s="11"/>
      <c r="J250" s="11"/>
      <c r="K250" s="16">
        <f>K253</f>
        <v>1</v>
      </c>
      <c r="L250" s="16">
        <f>L253</f>
        <v>0</v>
      </c>
      <c r="M250" s="16">
        <f>M253</f>
        <v>0</v>
      </c>
    </row>
    <row r="251" spans="1:13" ht="33.75" x14ac:dyDescent="0.25">
      <c r="A251" s="11"/>
      <c r="B251" s="11"/>
      <c r="C251" s="11"/>
      <c r="D251" s="14" t="s">
        <v>210</v>
      </c>
      <c r="E251" s="11"/>
      <c r="F251" s="11"/>
      <c r="G251" s="11"/>
      <c r="H251" s="11"/>
      <c r="I251" s="11"/>
      <c r="J251" s="11"/>
      <c r="K251" s="11"/>
      <c r="L251" s="11"/>
      <c r="M251" s="11"/>
    </row>
    <row r="252" spans="1:13" x14ac:dyDescent="0.25">
      <c r="A252" s="11"/>
      <c r="B252" s="11"/>
      <c r="C252" s="11"/>
      <c r="D252" s="14"/>
      <c r="E252" s="15" t="s">
        <v>39</v>
      </c>
      <c r="F252" s="11">
        <v>1</v>
      </c>
      <c r="G252" s="17">
        <v>0</v>
      </c>
      <c r="H252" s="17">
        <v>0</v>
      </c>
      <c r="I252" s="17">
        <v>0</v>
      </c>
      <c r="J252" s="16">
        <f>F252*(G252+ (G252= 0))*(H252+ (H252= 0))*(I252+ (I252= 0))</f>
        <v>1</v>
      </c>
      <c r="K252" s="11"/>
      <c r="L252" s="11"/>
      <c r="M252" s="11"/>
    </row>
    <row r="253" spans="1:13" x14ac:dyDescent="0.25">
      <c r="A253" s="11"/>
      <c r="B253" s="11"/>
      <c r="C253" s="11"/>
      <c r="D253" s="14"/>
      <c r="E253" s="11"/>
      <c r="F253" s="11"/>
      <c r="G253" s="11"/>
      <c r="H253" s="11"/>
      <c r="I253" s="11"/>
      <c r="J253" s="18" t="s">
        <v>211</v>
      </c>
      <c r="K253" s="10">
        <f>SUM(J252:J252)</f>
        <v>1</v>
      </c>
      <c r="L253" s="17">
        <v>0</v>
      </c>
      <c r="M253" s="10">
        <f>ROUND(L253*K253,2)</f>
        <v>0</v>
      </c>
    </row>
    <row r="254" spans="1:13" x14ac:dyDescent="0.25">
      <c r="A254" s="19"/>
      <c r="B254" s="19"/>
      <c r="C254" s="19"/>
      <c r="D254" s="26"/>
      <c r="E254" s="19"/>
      <c r="F254" s="19"/>
      <c r="G254" s="19"/>
      <c r="H254" s="19"/>
      <c r="I254" s="19"/>
      <c r="J254" s="19"/>
      <c r="K254" s="19"/>
      <c r="L254" s="19"/>
      <c r="M254" s="19"/>
    </row>
    <row r="255" spans="1:13" x14ac:dyDescent="0.25">
      <c r="A255" s="11"/>
      <c r="B255" s="11"/>
      <c r="C255" s="11"/>
      <c r="D255" s="14"/>
      <c r="E255" s="11"/>
      <c r="F255" s="11"/>
      <c r="G255" s="11"/>
      <c r="H255" s="11"/>
      <c r="I255" s="11"/>
      <c r="J255" s="18" t="s">
        <v>212</v>
      </c>
      <c r="K255" s="17">
        <v>1</v>
      </c>
      <c r="L255" s="10">
        <f>M248+M253</f>
        <v>0</v>
      </c>
      <c r="M255" s="10">
        <f>ROUND(L255*K255,2)</f>
        <v>0</v>
      </c>
    </row>
    <row r="256" spans="1:13" x14ac:dyDescent="0.25">
      <c r="A256" s="19"/>
      <c r="B256" s="19"/>
      <c r="C256" s="19"/>
      <c r="D256" s="26"/>
      <c r="E256" s="19"/>
      <c r="F256" s="19"/>
      <c r="G256" s="19"/>
      <c r="H256" s="19"/>
      <c r="I256" s="19"/>
      <c r="J256" s="19"/>
      <c r="K256" s="19"/>
      <c r="L256" s="19"/>
      <c r="M256" s="19"/>
    </row>
    <row r="257" spans="1:13" x14ac:dyDescent="0.25">
      <c r="A257" s="11"/>
      <c r="B257" s="11"/>
      <c r="C257" s="11"/>
      <c r="D257" s="14"/>
      <c r="E257" s="11"/>
      <c r="F257" s="11"/>
      <c r="G257" s="11"/>
      <c r="H257" s="11"/>
      <c r="I257" s="11"/>
      <c r="J257" s="18" t="s">
        <v>213</v>
      </c>
      <c r="K257" s="17">
        <v>1</v>
      </c>
      <c r="L257" s="10">
        <f>M108+M144+M222+M241+M255</f>
        <v>0</v>
      </c>
      <c r="M257" s="10">
        <f>ROUND(L257*K257,2)</f>
        <v>0</v>
      </c>
    </row>
    <row r="258" spans="1:13" x14ac:dyDescent="0.25">
      <c r="A258" s="19"/>
      <c r="B258" s="19"/>
      <c r="C258" s="19"/>
      <c r="D258" s="26"/>
      <c r="E258" s="19"/>
      <c r="F258" s="19"/>
      <c r="G258" s="19"/>
      <c r="H258" s="19"/>
      <c r="I258" s="19"/>
      <c r="J258" s="19"/>
      <c r="K258" s="19"/>
      <c r="L258" s="19"/>
      <c r="M258" s="19"/>
    </row>
    <row r="259" spans="1:13" x14ac:dyDescent="0.25">
      <c r="A259" s="12" t="s">
        <v>214</v>
      </c>
      <c r="B259" s="12" t="s">
        <v>17</v>
      </c>
      <c r="C259" s="12" t="s">
        <v>18</v>
      </c>
      <c r="D259" s="24" t="s">
        <v>215</v>
      </c>
      <c r="E259" s="13"/>
      <c r="F259" s="13"/>
      <c r="G259" s="13"/>
      <c r="H259" s="13"/>
      <c r="I259" s="13"/>
      <c r="J259" s="13"/>
      <c r="K259" s="20">
        <v>1</v>
      </c>
      <c r="L259" s="20">
        <v>0</v>
      </c>
      <c r="M259" s="20">
        <f>ROUND(K259*L259,2)</f>
        <v>0</v>
      </c>
    </row>
    <row r="260" spans="1:13" ht="22.5" x14ac:dyDescent="0.25">
      <c r="A260" s="11"/>
      <c r="B260" s="11"/>
      <c r="C260" s="11"/>
      <c r="D260" s="14" t="s">
        <v>216</v>
      </c>
      <c r="E260" s="11"/>
      <c r="F260" s="11"/>
      <c r="G260" s="11"/>
      <c r="H260" s="11"/>
      <c r="I260" s="11"/>
      <c r="J260" s="11"/>
      <c r="K260" s="11"/>
      <c r="L260" s="11"/>
      <c r="M260" s="11"/>
    </row>
    <row r="261" spans="1:13" x14ac:dyDescent="0.25">
      <c r="A261" s="11"/>
      <c r="B261" s="11"/>
      <c r="C261" s="11"/>
      <c r="D261" s="14"/>
      <c r="E261" s="11"/>
      <c r="F261" s="11"/>
      <c r="G261" s="11"/>
      <c r="H261" s="11"/>
      <c r="I261" s="11"/>
      <c r="J261" s="18" t="s">
        <v>217</v>
      </c>
      <c r="K261" s="21">
        <v>1</v>
      </c>
      <c r="L261" s="10">
        <f>M19+M78+M87+M257+M259</f>
        <v>0</v>
      </c>
      <c r="M261" s="10">
        <f>ROUND(L261*K261,2)</f>
        <v>0</v>
      </c>
    </row>
    <row r="262" spans="1:13" x14ac:dyDescent="0.25">
      <c r="A262" s="19"/>
      <c r="B262" s="19"/>
      <c r="C262" s="19"/>
      <c r="D262" s="26"/>
      <c r="E262" s="19"/>
      <c r="F262" s="19"/>
      <c r="G262" s="19"/>
      <c r="H262" s="19"/>
      <c r="I262" s="19"/>
      <c r="J262" s="19"/>
      <c r="K262" s="19"/>
      <c r="L262" s="19"/>
      <c r="M262" s="19"/>
    </row>
    <row r="263" spans="1:13" x14ac:dyDescent="0.25">
      <c r="A263" s="11"/>
      <c r="B263" s="11"/>
      <c r="C263" s="11"/>
      <c r="D263" s="14"/>
      <c r="E263" s="11"/>
      <c r="F263" s="11"/>
      <c r="G263" s="11"/>
      <c r="H263" s="11"/>
      <c r="I263" s="11"/>
      <c r="J263" s="18" t="s">
        <v>218</v>
      </c>
      <c r="K263" s="21">
        <v>1</v>
      </c>
      <c r="L263" s="10">
        <f>M261</f>
        <v>0</v>
      </c>
      <c r="M263" s="10">
        <f>ROUND(L263*K263,2)</f>
        <v>0</v>
      </c>
    </row>
    <row r="264" spans="1:13" x14ac:dyDescent="0.25">
      <c r="A264" s="11"/>
      <c r="B264" s="11"/>
      <c r="C264" s="11"/>
      <c r="D264" s="14"/>
      <c r="E264" s="11"/>
      <c r="F264" s="11"/>
      <c r="G264" s="11"/>
      <c r="H264" s="11"/>
      <c r="I264" s="11"/>
      <c r="J264" s="11"/>
      <c r="K264" s="11"/>
      <c r="L264" s="11"/>
      <c r="M264" s="11"/>
    </row>
  </sheetData>
  <dataValidations count="1">
    <dataValidation type="list" allowBlank="1" showInputMessage="1" showErrorMessage="1" sqref="B4:B264">
      <formula1>"Capítulo,Partida,Mano de obra,Maquinaria,Material,Otros,"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Tomeu</dc:creator>
  <cp:lastModifiedBy>Tomeu</cp:lastModifiedBy>
  <dcterms:created xsi:type="dcterms:W3CDTF">2025-04-21T17:37:08Z</dcterms:created>
  <dcterms:modified xsi:type="dcterms:W3CDTF">2025-04-21T17:39:09Z</dcterms:modified>
</cp:coreProperties>
</file>