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ropbox\Documents 2025\_PR_25_012 HOT HOTEL CABAU AQUASOL\7.- PROJECTE LICITACIÓ Y EXECUTIU\1.- Documents\Amidaments\"/>
    </mc:Choice>
  </mc:AlternateContent>
  <bookViews>
    <workbookView xWindow="0" yWindow="0" windowWidth="24120" windowHeight="11445"/>
  </bookViews>
  <sheets>
    <sheet name="Hoja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447" i="1" l="1"/>
  <c r="L447" i="1"/>
  <c r="M4" i="1"/>
  <c r="M445" i="1"/>
  <c r="K4" i="1"/>
  <c r="L4" i="1"/>
  <c r="L445" i="1"/>
  <c r="M336" i="1"/>
  <c r="M443" i="1"/>
  <c r="K336" i="1"/>
  <c r="L336" i="1"/>
  <c r="L443" i="1"/>
  <c r="M438" i="1"/>
  <c r="M441" i="1"/>
  <c r="K438" i="1"/>
  <c r="K441" i="1"/>
  <c r="L438" i="1"/>
  <c r="J440" i="1"/>
  <c r="M433" i="1"/>
  <c r="M436" i="1"/>
  <c r="K433" i="1"/>
  <c r="K436" i="1"/>
  <c r="L433" i="1"/>
  <c r="J435" i="1"/>
  <c r="M428" i="1"/>
  <c r="M431" i="1"/>
  <c r="K428" i="1"/>
  <c r="K431" i="1"/>
  <c r="L428" i="1"/>
  <c r="J430" i="1"/>
  <c r="M423" i="1"/>
  <c r="M426" i="1"/>
  <c r="K423" i="1"/>
  <c r="K426" i="1"/>
  <c r="L423" i="1"/>
  <c r="J425" i="1"/>
  <c r="M418" i="1"/>
  <c r="M421" i="1"/>
  <c r="K418" i="1"/>
  <c r="K421" i="1"/>
  <c r="L418" i="1"/>
  <c r="J420" i="1"/>
  <c r="M412" i="1"/>
  <c r="M416" i="1"/>
  <c r="K412" i="1"/>
  <c r="K416" i="1"/>
  <c r="L412" i="1"/>
  <c r="J415" i="1"/>
  <c r="J414" i="1"/>
  <c r="M407" i="1"/>
  <c r="M410" i="1"/>
  <c r="K407" i="1"/>
  <c r="K410" i="1"/>
  <c r="L407" i="1"/>
  <c r="J409" i="1"/>
  <c r="M402" i="1"/>
  <c r="M405" i="1"/>
  <c r="K402" i="1"/>
  <c r="K405" i="1"/>
  <c r="L402" i="1"/>
  <c r="J404" i="1"/>
  <c r="M394" i="1"/>
  <c r="M400" i="1"/>
  <c r="K394" i="1"/>
  <c r="K400" i="1"/>
  <c r="L394" i="1"/>
  <c r="J399" i="1"/>
  <c r="J398" i="1"/>
  <c r="J397" i="1"/>
  <c r="J396" i="1"/>
  <c r="M388" i="1"/>
  <c r="M392" i="1"/>
  <c r="K388" i="1"/>
  <c r="K392" i="1"/>
  <c r="L388" i="1"/>
  <c r="J391" i="1"/>
  <c r="J390" i="1"/>
  <c r="M383" i="1"/>
  <c r="M386" i="1"/>
  <c r="K383" i="1"/>
  <c r="K386" i="1"/>
  <c r="L383" i="1"/>
  <c r="J385" i="1"/>
  <c r="M378" i="1"/>
  <c r="M381" i="1"/>
  <c r="K378" i="1"/>
  <c r="K381" i="1"/>
  <c r="L378" i="1"/>
  <c r="J380" i="1"/>
  <c r="M373" i="1"/>
  <c r="M376" i="1"/>
  <c r="K373" i="1"/>
  <c r="K376" i="1"/>
  <c r="L373" i="1"/>
  <c r="J375" i="1"/>
  <c r="M368" i="1"/>
  <c r="M371" i="1"/>
  <c r="K368" i="1"/>
  <c r="K371" i="1"/>
  <c r="L368" i="1"/>
  <c r="J370" i="1"/>
  <c r="M363" i="1"/>
  <c r="M366" i="1"/>
  <c r="K363" i="1"/>
  <c r="K366" i="1"/>
  <c r="L363" i="1"/>
  <c r="J365" i="1"/>
  <c r="M358" i="1"/>
  <c r="M361" i="1"/>
  <c r="K358" i="1"/>
  <c r="K361" i="1"/>
  <c r="L358" i="1"/>
  <c r="J360" i="1"/>
  <c r="M353" i="1"/>
  <c r="M356" i="1"/>
  <c r="K353" i="1"/>
  <c r="K356" i="1"/>
  <c r="L353" i="1"/>
  <c r="J355" i="1"/>
  <c r="M348" i="1"/>
  <c r="M351" i="1"/>
  <c r="K348" i="1"/>
  <c r="K351" i="1"/>
  <c r="L348" i="1"/>
  <c r="J350" i="1"/>
  <c r="M343" i="1"/>
  <c r="M346" i="1"/>
  <c r="K343" i="1"/>
  <c r="K346" i="1"/>
  <c r="L343" i="1"/>
  <c r="J345" i="1"/>
  <c r="M338" i="1"/>
  <c r="M341" i="1"/>
  <c r="K338" i="1"/>
  <c r="K341" i="1"/>
  <c r="L338" i="1"/>
  <c r="J340" i="1"/>
  <c r="M317" i="1"/>
  <c r="M334" i="1"/>
  <c r="K317" i="1"/>
  <c r="L317" i="1"/>
  <c r="L334" i="1"/>
  <c r="M329" i="1"/>
  <c r="M332" i="1"/>
  <c r="K329" i="1"/>
  <c r="K332" i="1"/>
  <c r="L329" i="1"/>
  <c r="J331" i="1"/>
  <c r="M324" i="1"/>
  <c r="M327" i="1"/>
  <c r="K324" i="1"/>
  <c r="K327" i="1"/>
  <c r="L324" i="1"/>
  <c r="J326" i="1"/>
  <c r="M319" i="1"/>
  <c r="M322" i="1"/>
  <c r="K319" i="1"/>
  <c r="K322" i="1"/>
  <c r="L319" i="1"/>
  <c r="J321" i="1"/>
  <c r="M273" i="1"/>
  <c r="M315" i="1"/>
  <c r="K273" i="1"/>
  <c r="L273" i="1"/>
  <c r="L315" i="1"/>
  <c r="M310" i="1"/>
  <c r="M313" i="1"/>
  <c r="K310" i="1"/>
  <c r="K313" i="1"/>
  <c r="L310" i="1"/>
  <c r="J312" i="1"/>
  <c r="M305" i="1"/>
  <c r="M308" i="1"/>
  <c r="K305" i="1"/>
  <c r="K308" i="1"/>
  <c r="L305" i="1"/>
  <c r="J307" i="1"/>
  <c r="M300" i="1"/>
  <c r="M303" i="1"/>
  <c r="K300" i="1"/>
  <c r="K303" i="1"/>
  <c r="L300" i="1"/>
  <c r="J302" i="1"/>
  <c r="M295" i="1"/>
  <c r="M298" i="1"/>
  <c r="K295" i="1"/>
  <c r="K298" i="1"/>
  <c r="L295" i="1"/>
  <c r="J297" i="1"/>
  <c r="M290" i="1"/>
  <c r="M293" i="1"/>
  <c r="K290" i="1"/>
  <c r="K293" i="1"/>
  <c r="L290" i="1"/>
  <c r="J292" i="1"/>
  <c r="M285" i="1"/>
  <c r="M288" i="1"/>
  <c r="K285" i="1"/>
  <c r="K288" i="1"/>
  <c r="L285" i="1"/>
  <c r="J287" i="1"/>
  <c r="M280" i="1"/>
  <c r="M283" i="1"/>
  <c r="K280" i="1"/>
  <c r="K283" i="1"/>
  <c r="L280" i="1"/>
  <c r="J282" i="1"/>
  <c r="M275" i="1"/>
  <c r="M278" i="1"/>
  <c r="K275" i="1"/>
  <c r="K278" i="1"/>
  <c r="L275" i="1"/>
  <c r="J277" i="1"/>
  <c r="M244" i="1"/>
  <c r="M271" i="1"/>
  <c r="K244" i="1"/>
  <c r="L244" i="1"/>
  <c r="L271" i="1"/>
  <c r="M266" i="1"/>
  <c r="M269" i="1"/>
  <c r="K266" i="1"/>
  <c r="K269" i="1"/>
  <c r="L266" i="1"/>
  <c r="J268" i="1"/>
  <c r="M261" i="1"/>
  <c r="M264" i="1"/>
  <c r="K261" i="1"/>
  <c r="K264" i="1"/>
  <c r="L261" i="1"/>
  <c r="J263" i="1"/>
  <c r="M256" i="1"/>
  <c r="M259" i="1"/>
  <c r="K256" i="1"/>
  <c r="K259" i="1"/>
  <c r="L256" i="1"/>
  <c r="J258" i="1"/>
  <c r="M251" i="1"/>
  <c r="M254" i="1"/>
  <c r="K251" i="1"/>
  <c r="K254" i="1"/>
  <c r="L251" i="1"/>
  <c r="J253" i="1"/>
  <c r="M246" i="1"/>
  <c r="M249" i="1"/>
  <c r="K246" i="1"/>
  <c r="K249" i="1"/>
  <c r="L246" i="1"/>
  <c r="J248" i="1"/>
  <c r="M140" i="1"/>
  <c r="M242" i="1"/>
  <c r="K140" i="1"/>
  <c r="L140" i="1"/>
  <c r="L242" i="1"/>
  <c r="M237" i="1"/>
  <c r="M240" i="1"/>
  <c r="K237" i="1"/>
  <c r="K240" i="1"/>
  <c r="L237" i="1"/>
  <c r="J239" i="1"/>
  <c r="M232" i="1"/>
  <c r="M235" i="1"/>
  <c r="K232" i="1"/>
  <c r="K235" i="1"/>
  <c r="L232" i="1"/>
  <c r="J234" i="1"/>
  <c r="M227" i="1"/>
  <c r="M230" i="1"/>
  <c r="K227" i="1"/>
  <c r="K230" i="1"/>
  <c r="L227" i="1"/>
  <c r="J229" i="1"/>
  <c r="M222" i="1"/>
  <c r="M225" i="1"/>
  <c r="K222" i="1"/>
  <c r="K225" i="1"/>
  <c r="L222" i="1"/>
  <c r="J224" i="1"/>
  <c r="M217" i="1"/>
  <c r="M220" i="1"/>
  <c r="K217" i="1"/>
  <c r="K220" i="1"/>
  <c r="L217" i="1"/>
  <c r="J219" i="1"/>
  <c r="M212" i="1"/>
  <c r="M215" i="1"/>
  <c r="K212" i="1"/>
  <c r="K215" i="1"/>
  <c r="L212" i="1"/>
  <c r="J214" i="1"/>
  <c r="M210" i="1"/>
  <c r="M208" i="1"/>
  <c r="M203" i="1"/>
  <c r="M206" i="1"/>
  <c r="K203" i="1"/>
  <c r="K206" i="1"/>
  <c r="L203" i="1"/>
  <c r="J205" i="1"/>
  <c r="M201" i="1"/>
  <c r="M199" i="1"/>
  <c r="M194" i="1"/>
  <c r="M197" i="1"/>
  <c r="K194" i="1"/>
  <c r="K197" i="1"/>
  <c r="L194" i="1"/>
  <c r="J196" i="1"/>
  <c r="M192" i="1"/>
  <c r="M190" i="1"/>
  <c r="M188" i="1"/>
  <c r="M186" i="1"/>
  <c r="M181" i="1"/>
  <c r="M184" i="1"/>
  <c r="K181" i="1"/>
  <c r="K184" i="1"/>
  <c r="L181" i="1"/>
  <c r="J183" i="1"/>
  <c r="M176" i="1"/>
  <c r="M179" i="1"/>
  <c r="K176" i="1"/>
  <c r="K179" i="1"/>
  <c r="L176" i="1"/>
  <c r="J178" i="1"/>
  <c r="M171" i="1"/>
  <c r="M174" i="1"/>
  <c r="K171" i="1"/>
  <c r="K174" i="1"/>
  <c r="L171" i="1"/>
  <c r="J173" i="1"/>
  <c r="M166" i="1"/>
  <c r="M169" i="1"/>
  <c r="K166" i="1"/>
  <c r="K169" i="1"/>
  <c r="L166" i="1"/>
  <c r="J168" i="1"/>
  <c r="M161" i="1"/>
  <c r="M164" i="1"/>
  <c r="K161" i="1"/>
  <c r="K164" i="1"/>
  <c r="L161" i="1"/>
  <c r="J163" i="1"/>
  <c r="M156" i="1"/>
  <c r="M159" i="1"/>
  <c r="K156" i="1"/>
  <c r="K159" i="1"/>
  <c r="L156" i="1"/>
  <c r="J158" i="1"/>
  <c r="M151" i="1"/>
  <c r="M154" i="1"/>
  <c r="K151" i="1"/>
  <c r="K154" i="1"/>
  <c r="L151" i="1"/>
  <c r="J153" i="1"/>
  <c r="M146" i="1"/>
  <c r="M149" i="1"/>
  <c r="K146" i="1"/>
  <c r="K149" i="1"/>
  <c r="L146" i="1"/>
  <c r="J148" i="1"/>
  <c r="M144" i="1"/>
  <c r="M142" i="1"/>
  <c r="M85" i="1"/>
  <c r="M138" i="1"/>
  <c r="K85" i="1"/>
  <c r="L85" i="1"/>
  <c r="L138" i="1"/>
  <c r="M136" i="1"/>
  <c r="M130" i="1"/>
  <c r="M134" i="1"/>
  <c r="K130" i="1"/>
  <c r="K134" i="1"/>
  <c r="L130" i="1"/>
  <c r="J133" i="1"/>
  <c r="J132" i="1"/>
  <c r="M125" i="1"/>
  <c r="M128" i="1"/>
  <c r="K125" i="1"/>
  <c r="K128" i="1"/>
  <c r="L125" i="1"/>
  <c r="J127" i="1"/>
  <c r="M123" i="1"/>
  <c r="M115" i="1"/>
  <c r="M121" i="1"/>
  <c r="K115" i="1"/>
  <c r="K121" i="1"/>
  <c r="L115" i="1"/>
  <c r="J120" i="1"/>
  <c r="J119" i="1"/>
  <c r="J118" i="1"/>
  <c r="J117" i="1"/>
  <c r="M108" i="1"/>
  <c r="M113" i="1"/>
  <c r="K108" i="1"/>
  <c r="K113" i="1"/>
  <c r="L108" i="1"/>
  <c r="J112" i="1"/>
  <c r="J111" i="1"/>
  <c r="J110" i="1"/>
  <c r="M103" i="1"/>
  <c r="M106" i="1"/>
  <c r="K103" i="1"/>
  <c r="K106" i="1"/>
  <c r="L103" i="1"/>
  <c r="J105" i="1"/>
  <c r="M101" i="1"/>
  <c r="M96" i="1"/>
  <c r="M99" i="1"/>
  <c r="K96" i="1"/>
  <c r="K99" i="1"/>
  <c r="L96" i="1"/>
  <c r="J98" i="1"/>
  <c r="M94" i="1"/>
  <c r="M92" i="1"/>
  <c r="M87" i="1"/>
  <c r="M90" i="1"/>
  <c r="K87" i="1"/>
  <c r="K90" i="1"/>
  <c r="L87" i="1"/>
  <c r="J89" i="1"/>
  <c r="M6" i="1"/>
  <c r="M83" i="1"/>
  <c r="K6" i="1"/>
  <c r="L6" i="1"/>
  <c r="L83" i="1"/>
  <c r="M78" i="1"/>
  <c r="M81" i="1"/>
  <c r="K78" i="1"/>
  <c r="K81" i="1"/>
  <c r="L78" i="1"/>
  <c r="J80" i="1"/>
  <c r="M73" i="1"/>
  <c r="M76" i="1"/>
  <c r="K73" i="1"/>
  <c r="K76" i="1"/>
  <c r="L73" i="1"/>
  <c r="J75" i="1"/>
  <c r="M68" i="1"/>
  <c r="M71" i="1"/>
  <c r="K68" i="1"/>
  <c r="K71" i="1"/>
  <c r="L68" i="1"/>
  <c r="J70" i="1"/>
  <c r="M63" i="1"/>
  <c r="M66" i="1"/>
  <c r="K63" i="1"/>
  <c r="K66" i="1"/>
  <c r="L63" i="1"/>
  <c r="J65" i="1"/>
  <c r="M58" i="1"/>
  <c r="M61" i="1"/>
  <c r="K58" i="1"/>
  <c r="K61" i="1"/>
  <c r="L58" i="1"/>
  <c r="J60" i="1"/>
  <c r="M53" i="1"/>
  <c r="M56" i="1"/>
  <c r="K53" i="1"/>
  <c r="K56" i="1"/>
  <c r="L53" i="1"/>
  <c r="J55" i="1"/>
  <c r="M47" i="1"/>
  <c r="M51" i="1"/>
  <c r="K47" i="1"/>
  <c r="K51" i="1"/>
  <c r="L47" i="1"/>
  <c r="J50" i="1"/>
  <c r="J49" i="1"/>
  <c r="M42" i="1"/>
  <c r="M45" i="1"/>
  <c r="K42" i="1"/>
  <c r="K45" i="1"/>
  <c r="L42" i="1"/>
  <c r="J44" i="1"/>
  <c r="M37" i="1"/>
  <c r="M40" i="1"/>
  <c r="K37" i="1"/>
  <c r="K40" i="1"/>
  <c r="L37" i="1"/>
  <c r="J39" i="1"/>
  <c r="M32" i="1"/>
  <c r="M35" i="1"/>
  <c r="K32" i="1"/>
  <c r="K35" i="1"/>
  <c r="L32" i="1"/>
  <c r="J34" i="1"/>
  <c r="M30" i="1"/>
  <c r="M28" i="1"/>
  <c r="M23" i="1"/>
  <c r="M26" i="1"/>
  <c r="K23" i="1"/>
  <c r="K26" i="1"/>
  <c r="L23" i="1"/>
  <c r="J25" i="1"/>
  <c r="M18" i="1"/>
  <c r="M21" i="1"/>
  <c r="K18" i="1"/>
  <c r="K21" i="1"/>
  <c r="L18" i="1"/>
  <c r="J20" i="1"/>
  <c r="M13" i="1"/>
  <c r="M16" i="1"/>
  <c r="K13" i="1"/>
  <c r="K16" i="1"/>
  <c r="L13" i="1"/>
  <c r="J15" i="1"/>
  <c r="M8" i="1"/>
  <c r="M11" i="1"/>
  <c r="K8" i="1"/>
  <c r="K11" i="1"/>
  <c r="L8" i="1"/>
  <c r="J10" i="1"/>
</calcChain>
</file>

<file path=xl/sharedStrings.xml><?xml version="1.0" encoding="utf-8"?>
<sst xmlns="http://schemas.openxmlformats.org/spreadsheetml/2006/main" count="664" uniqueCount="432">
  <si>
    <t>Reforma y ampliación Hotel-apartamentos Aquasol</t>
  </si>
  <si>
    <t>Presupuesto</t>
  </si>
  <si>
    <t>Código</t>
  </si>
  <si>
    <t>Resumen</t>
  </si>
  <si>
    <t>ImpPres</t>
  </si>
  <si>
    <t>Nat</t>
  </si>
  <si>
    <t>Ud</t>
  </si>
  <si>
    <t>CanPres</t>
  </si>
  <si>
    <t>PrPres</t>
  </si>
  <si>
    <t>Comentario</t>
  </si>
  <si>
    <t>N</t>
  </si>
  <si>
    <t>Longitud</t>
  </si>
  <si>
    <t>Anchura</t>
  </si>
  <si>
    <t>Altura</t>
  </si>
  <si>
    <t>Parcial</t>
  </si>
  <si>
    <t xml:space="preserve">PISCINA      </t>
  </si>
  <si>
    <t>PISCINA CLIMATIZADA</t>
  </si>
  <si>
    <t>Capítulo</t>
  </si>
  <si>
    <t/>
  </si>
  <si>
    <t xml:space="preserve">PISCEQ       </t>
  </si>
  <si>
    <t>EQUIPAMIENTO</t>
  </si>
  <si>
    <t xml:space="preserve">NB32250206   </t>
  </si>
  <si>
    <t>BOMBA FILTRACION</t>
  </si>
  <si>
    <t>Partida</t>
  </si>
  <si>
    <t>u</t>
  </si>
  <si>
    <t>NB32250206</t>
  </si>
  <si>
    <t xml:space="preserve">COL75X2A     </t>
  </si>
  <si>
    <t>COLECTOR DE PVC Ø110 ASPIRACION</t>
  </si>
  <si>
    <t>COL75X2A</t>
  </si>
  <si>
    <t xml:space="preserve">AST32431     </t>
  </si>
  <si>
    <t>FILTRO LAMINADO DE POLIESTER Ø600 CON VALVULA MULTIPORT</t>
  </si>
  <si>
    <t>AST32431</t>
  </si>
  <si>
    <t xml:space="preserve">AFM1         </t>
  </si>
  <si>
    <t>MEDIO FILTRANTE DE MATERIAL ACTIVADO (0,5-1mm)</t>
  </si>
  <si>
    <t>kg</t>
  </si>
  <si>
    <t>filtros</t>
  </si>
  <si>
    <t>AFM1</t>
  </si>
  <si>
    <t xml:space="preserve">AFM2         </t>
  </si>
  <si>
    <t>MEDIO FILTRANTE DE MATERIAL ACTIVADO (1-2mm)</t>
  </si>
  <si>
    <t xml:space="preserve">Suministro e instalación de medio filtrante a base de material activado granulometría 1-2 mm instalado en filtro de arena marca DrydenAqua modelo AFM grado 2.
</t>
  </si>
  <si>
    <t xml:space="preserve">AFM3         </t>
  </si>
  <si>
    <t>MEDIO FILTRANTE DE MATERIAL ACTIVADO (2-6mm)</t>
  </si>
  <si>
    <t xml:space="preserve">AST22353     </t>
  </si>
  <si>
    <t>BOQUILLA DE DE FONDO OSCILANTE Ø50 PN-10</t>
  </si>
  <si>
    <t xml:space="preserve">Suministro e instalación de Boquilla impulsion/aspiración de fondo oscilante Ø50 PN-10. Fabricada en material plástico ABS y tornillería de acero inoxidable AISI-316. Caudal máximo 10 m3/h. Marca Astral modelo 22353, incluso Tubo passamuros codigo 21248.  Totalmente instalado y funcionando, incluso pasamuros PVC.
</t>
  </si>
  <si>
    <t>impulsion fondo</t>
  </si>
  <si>
    <t>AST22353</t>
  </si>
  <si>
    <t xml:space="preserve">AST00317     </t>
  </si>
  <si>
    <t>BOQUILLA ASPIRACION con tapa roscada aspiración limpieza</t>
  </si>
  <si>
    <t>AST00317</t>
  </si>
  <si>
    <t xml:space="preserve">AST00285     </t>
  </si>
  <si>
    <t>SUMIDERO REJILLA 330x330mm</t>
  </si>
  <si>
    <t xml:space="preserve">Suministro, instalación y conexionado de sumidero fabricado en resina de polyester + F.V. acabado de gel-coat, con rejilla inoxidable y tornilleria en acero inox AISI 304, de 330x330mm., Caudal nominal 18 m3/h para 0,5 m/s, marca ASTRALPOOL ref. 20282. Incluso pasamuros y accesorios y parte proporcional de elementos mecánicos y material auxiliar necesarios para montaje, conexionado, soporte y sujeción.
</t>
  </si>
  <si>
    <t>AST00285</t>
  </si>
  <si>
    <t xml:space="preserve">AST05581     </t>
  </si>
  <si>
    <t>PIEZA REJA PERIMETRAL 195mm x 500 mm</t>
  </si>
  <si>
    <t xml:space="preserve">Suministro, instalación y conexionado de piezas de reja longitudinal para recogida de rebosadero piscina de 22mm alto x 195mm anchox500mm largo (2 uds = 1m), fabricado en polipropileno estabilizado a la acción de rayos UV, color blanco, union mediante enganches macho-hembra de la misma placa, marca ASTRALPOOL ref. 28664. Incluso mermas por perímetro de piscina, accesorios y parte proporcional de elementos mecánicos y material auxiliar necesarios para montaje, conexionado, soporte y sujeción.
</t>
  </si>
  <si>
    <t>Rebose perimetral</t>
  </si>
  <si>
    <t>(19 m x2 uds/m)=</t>
  </si>
  <si>
    <t>AST05581</t>
  </si>
  <si>
    <t xml:space="preserve">EVALV001     </t>
  </si>
  <si>
    <t>ELECTROVALVULA 1" 230V NC</t>
  </si>
  <si>
    <t>llenado</t>
  </si>
  <si>
    <t>EVALV001</t>
  </si>
  <si>
    <t xml:space="preserve">AST12062     </t>
  </si>
  <si>
    <t>ARMARIO PORTASONDAS 3 NIVELES</t>
  </si>
  <si>
    <t>Deposito compensacion</t>
  </si>
  <si>
    <t>AST12062</t>
  </si>
  <si>
    <t xml:space="preserve">CONT025      </t>
  </si>
  <si>
    <t>CONTADOR DE AGUA 1"</t>
  </si>
  <si>
    <t>Suministro Agua</t>
  </si>
  <si>
    <t>CONT025</t>
  </si>
  <si>
    <t xml:space="preserve">AST20430     </t>
  </si>
  <si>
    <t>CONTADOR DE AGUA 2"</t>
  </si>
  <si>
    <t>filtracion</t>
  </si>
  <si>
    <t>AST20430</t>
  </si>
  <si>
    <t xml:space="preserve">VISD75       </t>
  </si>
  <si>
    <t>VISOR DE NIVEL D75mm</t>
  </si>
  <si>
    <t xml:space="preserve">Suministro e instalación de visor de nivel de metracrilato D75 mm de 1,5 m de longitud. Incluso pp de accesorios y material necesario para su montaje y sujeción.
</t>
  </si>
  <si>
    <t>VISD75</t>
  </si>
  <si>
    <t xml:space="preserve">INTERUFP6375 </t>
  </si>
  <si>
    <t>INTERCAMBIADOR DE PLACAS DE TITANIO P=36,5KW</t>
  </si>
  <si>
    <t>CALENTAMIENTO PISCINA</t>
  </si>
  <si>
    <t>INTERUFP6375</t>
  </si>
  <si>
    <t>PISCEQ</t>
  </si>
  <si>
    <t xml:space="preserve">PISCTUB      </t>
  </si>
  <si>
    <t>TUBERIAS</t>
  </si>
  <si>
    <t xml:space="preserve">TPVCD200     </t>
  </si>
  <si>
    <t>TUBERIA DE PVC Ø200 PN10</t>
  </si>
  <si>
    <t>Recogida canal rebosadero</t>
  </si>
  <si>
    <t>TPVCD200</t>
  </si>
  <si>
    <t xml:space="preserve">TPVCD160     </t>
  </si>
  <si>
    <t>TUBERIA DE PVC Ø160 PN10</t>
  </si>
  <si>
    <t xml:space="preserve">TPVCD125     </t>
  </si>
  <si>
    <t>TUBERIA DE PVC Ø125 PN10</t>
  </si>
  <si>
    <t xml:space="preserve">TPVCD110     </t>
  </si>
  <si>
    <t>TUBERIA DE PVC Ø110 PN10</t>
  </si>
  <si>
    <t>Rebose vaso compensacion</t>
  </si>
  <si>
    <t>TPVCD110</t>
  </si>
  <si>
    <t xml:space="preserve">TPVCD90      </t>
  </si>
  <si>
    <t>TUBERIA DE PVC Ø90 PN10</t>
  </si>
  <si>
    <t xml:space="preserve">TPVCD75      </t>
  </si>
  <si>
    <t>TUBERIA DE PVC Ø75 PN10</t>
  </si>
  <si>
    <t>Aspiración</t>
  </si>
  <si>
    <t>TPVCD75</t>
  </si>
  <si>
    <t xml:space="preserve">TPVCD63      </t>
  </si>
  <si>
    <t>TUBERIA DE PVC Ø63 PN10</t>
  </si>
  <si>
    <t>Impulsion</t>
  </si>
  <si>
    <t>Desague</t>
  </si>
  <si>
    <t>intercambiador calor</t>
  </si>
  <si>
    <t>TPVCD63</t>
  </si>
  <si>
    <t xml:space="preserve">TPVCD50      </t>
  </si>
  <si>
    <t>TUBERIA DE PVC Ø50 PN10</t>
  </si>
  <si>
    <t>Boquillas impulsion</t>
  </si>
  <si>
    <t>Toma limpieza</t>
  </si>
  <si>
    <t>Pozo bombeo</t>
  </si>
  <si>
    <t>Filtros</t>
  </si>
  <si>
    <t>TPVCD50</t>
  </si>
  <si>
    <t xml:space="preserve">TPVCD40      </t>
  </si>
  <si>
    <t>TUBERIA DE PVC Ø40 PN10</t>
  </si>
  <si>
    <t xml:space="preserve">TPVCD32      </t>
  </si>
  <si>
    <t>TUBERIA DE PVC Ø32 PN16</t>
  </si>
  <si>
    <t>Llenado aljibe</t>
  </si>
  <si>
    <t>TPVCD32</t>
  </si>
  <si>
    <t xml:space="preserve">TPVCD25      </t>
  </si>
  <si>
    <t>TUBERIA DE PVC Ø25 PN16</t>
  </si>
  <si>
    <t>Desinfeccion</t>
  </si>
  <si>
    <t>Elevador hidraulico</t>
  </si>
  <si>
    <t>TPVCD25</t>
  </si>
  <si>
    <t xml:space="preserve">TPVCD20      </t>
  </si>
  <si>
    <t>TUBERIA DE PVC Ø20 PN16</t>
  </si>
  <si>
    <t>PISCTUB</t>
  </si>
  <si>
    <t xml:space="preserve">PISCVAL      </t>
  </si>
  <si>
    <t>VALVULERIA</t>
  </si>
  <si>
    <t xml:space="preserve">VALMADN150   </t>
  </si>
  <si>
    <t>VALVULA DE MARIPOSA PVC DN150 PN10</t>
  </si>
  <si>
    <t xml:space="preserve">Suministro, instalación y conexionado de válvula de corte de mariposa DN150, de Ø160 en cuerpo de PVC, Kv100=16200 l/min,1 bar. Marca CEPEX o similar. Incluye conexiones hidráulicas, accesorios y parte proporcional de elementos mecánicos y material auxiliar necesarios para montaje, conexionado, soporte y sujeción. 
</t>
  </si>
  <si>
    <t xml:space="preserve">VALMADN125   </t>
  </si>
  <si>
    <t>VALVULA DE MARIPOSA PVC DN125 PN10</t>
  </si>
  <si>
    <t xml:space="preserve">Suministro, instalación y conexionado de válvula de corte de mariposa DN125, de Ø125 en cuerpo de PVC, Kv100=28000 l/min,1 bar. Marca CEPEX o similar. Incluye conexiones hidráulicas, accesorios y parte proporcional de elementos mecánicos y material auxiliar necesarios para montaje, conexionado, soporte y sujeción. 
</t>
  </si>
  <si>
    <t xml:space="preserve">VALMADN100   </t>
  </si>
  <si>
    <t>VALVULA DE MARIPOSA PVC DN100 PN10</t>
  </si>
  <si>
    <t>VALMADN100</t>
  </si>
  <si>
    <t xml:space="preserve">VALMADN80    </t>
  </si>
  <si>
    <t>VALVULA DE MARIPOSA PVC DN80 PN10</t>
  </si>
  <si>
    <t>VALMADN80</t>
  </si>
  <si>
    <t xml:space="preserve">VALBODN65    </t>
  </si>
  <si>
    <t>VALVULA DE ESFERA PVC DN65 PN10</t>
  </si>
  <si>
    <t xml:space="preserve">Suministro, instalación y conexionado de válvula de corte de esfera de encolar DN65, de Ø75 en cuerpo de PVC, Kv100=5500 l/min,1 bar. Marca CEPEX o similar. Incluye conexiones hidráulicas, accesorios y parte proporcional de elementos mecánicos y material auxiliar necesarios para montaje, conexionado, soporte y sujeción. 
</t>
  </si>
  <si>
    <t>VALBODN65</t>
  </si>
  <si>
    <t xml:space="preserve">VALBODN50    </t>
  </si>
  <si>
    <t>VALVULA DE ESFERA PVC DN50 PN10</t>
  </si>
  <si>
    <t>VALBODN50</t>
  </si>
  <si>
    <t xml:space="preserve">VALBODN40    </t>
  </si>
  <si>
    <t>VALVULA DE ESFERA PVC DN40 PN10</t>
  </si>
  <si>
    <t xml:space="preserve">Suministro, instalación y conexionado de válvula de corte de esfera de encolar DN40, de Ø50 en cuerpo de PVC, Kv100=1600 l/min,1 bar. Marca CEPEX o similar. Incluye conexiones hidráulicas, accesorios y parte proporcional de elementos mecánicos y material auxiliar necesarios para montaje, conexionado, soporte y sujeción. 
</t>
  </si>
  <si>
    <t>VALBODN40</t>
  </si>
  <si>
    <t xml:space="preserve">VALBODN32    </t>
  </si>
  <si>
    <t>VALVULA DE ESFERA PVC DN32 PN10</t>
  </si>
  <si>
    <t>VALBODN32</t>
  </si>
  <si>
    <t xml:space="preserve">VALBODN25    </t>
  </si>
  <si>
    <t>VALVULA DE ESFERA PVC DN25 PN10</t>
  </si>
  <si>
    <t xml:space="preserve">Suministro, instalación y conexionado de válvula de corte de esfera de encolar DN25,en cuerpo de PVC, Kv100=690 l/min,1 bar. Marca CEPEX o similar. Incluye conexiones hidráulicas, accesorios y parte proporcional de elementos mecánicos y material auxiliar necesarios para montaje, conexionado, soporte y sujeción. 
</t>
  </si>
  <si>
    <t>VALBODN25</t>
  </si>
  <si>
    <t xml:space="preserve">VALBODN20    </t>
  </si>
  <si>
    <t>VALVULA DE ESFERA PVC DN20 PN10</t>
  </si>
  <si>
    <t xml:space="preserve">Suministro, instalación y conexionado de válvula de corte de esfera de encolar DN20, de Ø25 en cuerpo de PVC, Kv100=380 l/min,1 bar. Marca CEPEX o similar. Incluye conexiones hidráulicas, accesorios y parte proporcional de elementos mecánicos y material auxiliar necesarios para montaje, conexionado, soporte y sujeción. 
</t>
  </si>
  <si>
    <t>VALBODN20</t>
  </si>
  <si>
    <t xml:space="preserve">VALANDN125   </t>
  </si>
  <si>
    <t>VALVULA ANTIRETORNO PVC DN125</t>
  </si>
  <si>
    <t xml:space="preserve">Suministro, instalación y conexionado de válvula de retención cierre con muelle  DN125 de PVC, de encolar marca CEPEX o similar. Incluye conexiones hidráulicas, accesorios y parte proporcional de elementos mecánicos y material auxiliar necesarios para montaje, conexionado, soporte y sujeción. 
</t>
  </si>
  <si>
    <t xml:space="preserve">VALANDN100   </t>
  </si>
  <si>
    <t>VALVULA ANTIRETORNO PVC DN100</t>
  </si>
  <si>
    <t xml:space="preserve">Suministro, instalación y conexionado de válvula de retención cierre con muelle  DN100 de PVC, de encolar marca CEPEX o similar. Incluye conexiones hidráulicas, accesorios y parte proporcional de elementos mecánicos y material auxiliar necesarios para montaje, conexionado, soporte y sujeción. 
</t>
  </si>
  <si>
    <t xml:space="preserve">VALANDN80    </t>
  </si>
  <si>
    <t>VALVULA ANTIRETORNO PVC DN80</t>
  </si>
  <si>
    <t xml:space="preserve">VALANDN65    </t>
  </si>
  <si>
    <t>VALVULA ANTIRETORNO PVC DN65</t>
  </si>
  <si>
    <t xml:space="preserve">Suministro, instalación y conexionado de válvula de retención cierre con muelle  DN65 de PVC, de encolar marca CEPEX o similar. Incluye conexiones hidráulicas, accesorios y parte proporcional de elementos mecánicos y material auxiliar necesarios para montaje, conexionado, soporte y sujeción. 
</t>
  </si>
  <si>
    <t xml:space="preserve">VALANDN550   </t>
  </si>
  <si>
    <t>VALVULA ANTIRETORNO PVC DN50</t>
  </si>
  <si>
    <t>bomba</t>
  </si>
  <si>
    <t>VALANDN550</t>
  </si>
  <si>
    <t xml:space="preserve">VALANDN32    </t>
  </si>
  <si>
    <t>VALVULA ANTIRETORNO PVC DN32</t>
  </si>
  <si>
    <t xml:space="preserve">VALANDN25    </t>
  </si>
  <si>
    <t>VALVULA ANTIRETORNO PVC DN25</t>
  </si>
  <si>
    <t xml:space="preserve">Suministro, instalación y conexionado de válvula de retención cierre con muelle  DN25, en cuerpo de PVC, de encolar marca CEPEX o similar. Incluye conexiones hidráulicas, accesorios y parte proporcional de elementos mecánicos y material auxiliar necesarios para montaje, conexionado, soporte y sujeción. 
</t>
  </si>
  <si>
    <t xml:space="preserve">AA 05 173    </t>
  </si>
  <si>
    <t>VALVULA DE RETENCIÓN DE 1"</t>
  </si>
  <si>
    <t xml:space="preserve">Suministro e instalación de válvula de retención de 1", con cuerpo, eje y disco de latón, muelle de acero inoxidable AISI-304 y junta de cierre de NBR, Tª maxima de servicio=90ºC. Incluso pp de accesorios y elementos necesarios para su montaje.
</t>
  </si>
  <si>
    <t>afs</t>
  </si>
  <si>
    <t>AA 05 173</t>
  </si>
  <si>
    <t xml:space="preserve">AA 05 172    </t>
  </si>
  <si>
    <t>VALVULA DE RETENCIÓN DE 3/4"</t>
  </si>
  <si>
    <t xml:space="preserve">Suministro e instalación de válvula de retención de 3/4", con cuerpo, eje y disco de latón, muelle de acero inoxidable AISI-304 y junta de cierre de NBR, Tª maxima de servicio=90ºC. Incluso pp de accesorios y elementos necesarios para su montaje.
</t>
  </si>
  <si>
    <t xml:space="preserve">VISDN80      </t>
  </si>
  <si>
    <t>VISOR DE LIQUIDOS DN80 PN10</t>
  </si>
  <si>
    <t xml:space="preserve">Suministro e instalación de visor de líquidos DN80 Ø90 PN10 de metracrilato de encolar marca Cepex codigo 02390 referencia 05 54 090. Incluso pp de accesorios y elementos necesarios para soportación.
</t>
  </si>
  <si>
    <t xml:space="preserve">VISDN50      </t>
  </si>
  <si>
    <t>VISOR DE LIQUIDOS DN50 PN10</t>
  </si>
  <si>
    <t xml:space="preserve">Suministro e instalación de visor de líquidos DN50 Ø63 PN10  de metracrilato de encolar marca Cepex codigo 02388 referencia 05 54 063. Incluso pp de accesorios y elementos necesarios para soportación.
</t>
  </si>
  <si>
    <t>DESAGUE FILTROS</t>
  </si>
  <si>
    <t>VISDN50</t>
  </si>
  <si>
    <t xml:space="preserve">INTFDN50     </t>
  </si>
  <si>
    <t>INTERRUPTOR DE FLUJO PVC DN50 PN10</t>
  </si>
  <si>
    <t xml:space="preserve">Suministro, instalación y conexionado de interruptor de flujo DN50, de Ø63 en cuerpo de PVC, contacto NC y contacto NO. Incluye conexiones hidráulicas, accesorios y parte proporcional de elementos mecánicos y material auxiliar necesarios para montaje, conexionado, soporte y sujeción. 
</t>
  </si>
  <si>
    <t>INTFDN50</t>
  </si>
  <si>
    <t xml:space="preserve">IM33003      </t>
  </si>
  <si>
    <t>MANOMETRO GLICERINA D60mm 0-4Bar</t>
  </si>
  <si>
    <t xml:space="preserve">Suministro e instalación de manómetro Ø 60 mm, rosca 1/4" macho BSP, temperatura ambiente -20°C a 90°C, fluido máx. 90°C, precisión ± 1,6 %, escala 0-4 bar, caja de acero inoxidable AISI 304, esfera ABS y aguja de aluminio, mecanismo y perno de conexión de aleación cobre. Incluso pp de accesorios, valvulería y elementos necesarios para su montaje y conexión.
</t>
  </si>
  <si>
    <t>intercambiador</t>
  </si>
  <si>
    <t>IM33003</t>
  </si>
  <si>
    <t xml:space="preserve">IM01111      </t>
  </si>
  <si>
    <t>TERMOMETRO D63mm 0-120ºC c/ vaina 1/2"</t>
  </si>
  <si>
    <t xml:space="preserve">Suministro e instalación de termómetro bimetálico con vaina. Rosca 1/2" macho, Ø esfera 63 mm, longitud 50 mm, escala 0°C a 120°C, precisión: ±3%, Ø interior 9,5 mm, Ø exterior 10,5 mm. Caja de acero cromado, aro de acero inoxidable, esfera y aguja de aluminio, vaina de latón, sujeción por tornillo. Incluso pp de accesorios, valvulería y elementos necesarios para su montaje y conexión.
</t>
  </si>
  <si>
    <t>IM01111</t>
  </si>
  <si>
    <t xml:space="preserve">AC01024      </t>
  </si>
  <si>
    <t>PURGADOR AUTOMATICO DE 1/2"</t>
  </si>
  <si>
    <t xml:space="preserve">Suministro e instalación de Purgador automático de aire SEI de SALVADOR ESCODA ref. AC01024 o similar equivalente. Temperatura 0º C +110 Cº, presión máx. 10 bar, dimensiones 1/2". Incluso pp de accesorios, valvulería y elementos necesarios para su montaje y conexión.
</t>
  </si>
  <si>
    <t>AC01024</t>
  </si>
  <si>
    <t xml:space="preserve">SOND080420MA </t>
  </si>
  <si>
    <t>SONDA DE TEMPERATURA 0-80ºC CON VAINA</t>
  </si>
  <si>
    <t xml:space="preserve">Suministro e instalación de Sonda de temperatura PT100, 0-80ºC, incluso transmisor de señal 4-20mA en cabezal de aluminio, y vaina roscada de tubo de acero inoxidable AISI316 para medición de temperatura marca Wika modelo TR10-F + TW40 + BS + T19 o similar. Incluso pp de accesorios y elementos necesarios para montaje, conexionado y sujeción.
</t>
  </si>
  <si>
    <t>SOND080420MA</t>
  </si>
  <si>
    <t>PISCVAL</t>
  </si>
  <si>
    <t xml:space="preserve">PISCDESIN    </t>
  </si>
  <si>
    <t>DESINFECCIÓN</t>
  </si>
  <si>
    <t xml:space="preserve">AST57748     </t>
  </si>
  <si>
    <t>NEOLYSYS DE BAJA SAL 50g Cl2/h+UV 75W+pH/ppm</t>
  </si>
  <si>
    <t xml:space="preserve">Suministro, instalación y conexionado de sistema de Neolysis LS, Neolysis baja sal+ control PH  Astralpool AP Neo/S 50 g Cl2/h + UV 75 W + pH/PPM (EXT-2) código 66148. 
Neolysis S (5-6 g/L) + UV para piscina pública.
Neolysis, el tratamiento más avanzado de AstralPool: + Sostenibilidad + Desinfección + Innovación + Salud.
Ventajas:
• Máxima calidad de agua.
• Doble desinfección: UV + Electrólisis.
Características:
• Baja salinidad 2-3 g/L (Neo LS)
• Máxima capacidad reducción de cloraminas (UV LP + Electrólisis).
• Electrodos autolimpiantes 12.000 - 15.000 horas (Neo LS y Neo S).
• Lámpara UV LP HO (13.000 horas).
• Proceso Patentado.
• Para controlar más de una unidad para la misma piscina, se requiere control externo AP PR-200 o Smart
Control y el control multiple Kit TRI (codigo 70338) incluido.
Incluso portasondas, panel de sujeción, programación, puesta en marcha, accesorios y parte proporcional de elementos mecánicos y material auxiliar necesarios para montaje, conexionado, soporte y sujeción.
</t>
  </si>
  <si>
    <t>AST57748</t>
  </si>
  <si>
    <t xml:space="preserve">OPTIMAP      </t>
  </si>
  <si>
    <t>BOMBA DOSIFICADORA OPTIMA PROPORCIONAL</t>
  </si>
  <si>
    <t xml:space="preserve">Suministro e instalación de bomba dosificadora digital proporcional y volumétrica Marca Astral Modelo Optima. Incluso conexion eléctrico, hidráulica, pp de accesorios y elementos necesarios paras su montaje, sujeción e instalación.
Incluye:
- 1 tubo de aspiración de PVC tipo cristal transparente, flexible de 2 m.
- 1 tubo de impulsión de polietileno de 2 m semirígido blanco.
- 1 válvula de inyeccion de 3/8” BSP m.
- 1 filtro de fondo.
- 1 set de instrucciones
</t>
  </si>
  <si>
    <t>PH-</t>
  </si>
  <si>
    <t>OPTIMAP</t>
  </si>
  <si>
    <t xml:space="preserve">OPTIMAM      </t>
  </si>
  <si>
    <t>BOMBA DOSIFICADORA OPTIMA MANUAL REGULABLE</t>
  </si>
  <si>
    <t xml:space="preserve">Suministro e instalación de bomba dosificadora analógica de caudal constante manual regulable Marca Astral Modelo Optima. Incluso conexion eléctrico, hidráulica, pp de accesorios y elementos necesarios paras su montaje, sujeción e instalación.
Incluye:
- 1 tubo de aspiración de PVC tipo cristal transparente, flexible de 2 m.
- 1 tubo de impulsión de polietileno de 2 m semirígido blanco.
- 1 válvula de inyeccion de 3/8” BSP m.
- 1 filtro de fondo.
- 1 set de instrucciones
</t>
  </si>
  <si>
    <t>Alguicida</t>
  </si>
  <si>
    <t>OPTIMAM</t>
  </si>
  <si>
    <t xml:space="preserve">AMINPH       </t>
  </si>
  <si>
    <t>SUMINISTRO DE AMINORADOR DE PH AL 40% 25 litros</t>
  </si>
  <si>
    <t xml:space="preserve">Suministro de envase y aminorador de PH al 40% en garrafa de 25 litros. Incluso pp de montaje, conexionado y puesta en marcha.
</t>
  </si>
  <si>
    <t>AMINPH</t>
  </si>
  <si>
    <t xml:space="preserve">ALGUIC       </t>
  </si>
  <si>
    <t>SUMINISTRO DE ALGUICIDA 25 litros</t>
  </si>
  <si>
    <t xml:space="preserve">Suministro de envase y alguicida en garrafa de 25 litros. Incluso pp de montaje, conexionado y puesta en marcha.
</t>
  </si>
  <si>
    <t>ALGUIC</t>
  </si>
  <si>
    <t>PISCDESIN</t>
  </si>
  <si>
    <t xml:space="preserve">PISCVAR      </t>
  </si>
  <si>
    <t>VARIOS</t>
  </si>
  <si>
    <t xml:space="preserve">VA001        </t>
  </si>
  <si>
    <t>ELEVADOR HIDRAULICO</t>
  </si>
  <si>
    <t xml:space="preserve">Suministro e instalación de elevador hidráulico en acero inoxidable AISI-316 Ø43 mm. con mecanismo hidráulico para una presión mínima de 3.5 kg/cm2, con pasamanos de longitud 1 m. ( para piscina con rebosadero). Marca ASTRALPOOL modelo 28620 (elevador), 28621 (cilindro) y 28622 (complementos) o similar. Incluso conexión a tuberia AFS D20mm, parte proporcional de accesorios, de elementos mecánicos y material auxiliar necesarios para montaje, conexionado, soporte y sujección.
</t>
  </si>
  <si>
    <t>VA001</t>
  </si>
  <si>
    <t xml:space="preserve">VA002        </t>
  </si>
  <si>
    <t>LIMPIAFONDOS</t>
  </si>
  <si>
    <t xml:space="preserve">Suministro de limpiafondos de aluminio con horquilla, conexión al mango mediante palomillas de 450 mm de longitud. Marca ASTRAL codigo 01358. Incluso mango telescopico de aluiminio de 2,4 a 4,8 m Marca ASTRAL codigo 38423. Manguera autoflotante de polietileno color azul de D38mm-1 1/2" de 15 metros de longitud Marca Astral codigo 01375 incluye terminales. Enrollador de manguera Marca Astral codigo 66042.
</t>
  </si>
  <si>
    <t>VA002</t>
  </si>
  <si>
    <t xml:space="preserve">VA003        </t>
  </si>
  <si>
    <t>CEPILLO DE LIMPIEZA</t>
  </si>
  <si>
    <t xml:space="preserve">Suministro de cepillo para esquinas con aspiracion Shark. Marca ASTRAL codigo 36617. Cepillo curvo Shark Marca Astral codigo 36616. Incluso mango telescopico de aluiminio de 2,4 a 4,8 m Marca ASTRAL codigo 38423.
</t>
  </si>
  <si>
    <t>VA003</t>
  </si>
  <si>
    <t xml:space="preserve">VA004        </t>
  </si>
  <si>
    <t>RECOGE HOJAS</t>
  </si>
  <si>
    <t xml:space="preserve">Suministro de recogehojas de fondo Shark. Marca ASTRAL codigo 366174. Recogehojas de superficie Shark Marca Astral codigo 36613. Incluso mango telescopico de aluiminio de 2,4 a 4,8 m Marca ASTRAL codigo 38423.
</t>
  </si>
  <si>
    <t>VA004</t>
  </si>
  <si>
    <t xml:space="preserve">VA005        </t>
  </si>
  <si>
    <t>SALVAVIDAS</t>
  </si>
  <si>
    <t xml:space="preserve">Suministro e instalación de salvavidas de D700mm fabricado en Styropor forrado en lona. Marca Astral cogigo 01369. Incluso soporte de acero inosidable AISI 304 codigo 01370, pie para soporte codigo 01371 y 16 metros de cuerda, accesorios y material para fijación y soportación incluidos.
</t>
  </si>
  <si>
    <t>VA005</t>
  </si>
  <si>
    <t xml:space="preserve">VA009        </t>
  </si>
  <si>
    <t>DEPOSITO DE COMPENSACION 4 m3</t>
  </si>
  <si>
    <t xml:space="preserve">Construcción de deposito de compensación de 4 m3 utiles de obra. (Partida a valorar de obra). Con pasamuros para tubo PVC D75mm (succión bomba filtración) en fondo, D200 en pared (recogida rebosadero), D110 en pared (rebosadero), 2xD32 en pared (entrada agua de red y visor nivel).
</t>
  </si>
  <si>
    <t>VA009</t>
  </si>
  <si>
    <t xml:space="preserve">ARQ 2BA+SG   </t>
  </si>
  <si>
    <t>ARQUETA RECOGIDA AGUAS RESIDUALES</t>
  </si>
  <si>
    <t>Ud.</t>
  </si>
  <si>
    <t xml:space="preserve">Suministro e instalación de arqueta de recogida y elevación de aguas residuales  de medidas interiores de 1.00x1.0x1.0m (ancho x largo x fondo), realizada con fábrica de ladrillo macizo colocado de 1/2 pie de espesor, recibido con mortero de cemento y arena lavada 1/6, enfoscada con mortero de cemento y arena lavada 1/6 y bruñida con mortero de cemento y arena lavada 1/2 en su interior, sobre solera de hormigón HM-20/P/40. Incluso cerco, tapa de fundición, accesorios y material auxiliar necesario para montaje, soporte y sujeción.
</t>
  </si>
  <si>
    <t>sala instalaciones</t>
  </si>
  <si>
    <t>ARQ 2BA+SG</t>
  </si>
  <si>
    <t xml:space="preserve">VERSATG      </t>
  </si>
  <si>
    <t>BOMBA ACHIQUE 0'95kW-230Vca</t>
  </si>
  <si>
    <t xml:space="preserve">Suministro e instalación de bomba de impulsión EBARA VERSATILE SG 0,95kW 230Vca, caudal de 9 m3/h a una presión de 6 m.c.a., con interruptor de nivel incluido. Se incluye llaves de paso y válvulas de retención. Incluso accesorios y material auxiliar necesario para montaje, soporte y sujeción.
</t>
  </si>
  <si>
    <t>pozo</t>
  </si>
  <si>
    <t>VERSATG</t>
  </si>
  <si>
    <t>PISCVAR</t>
  </si>
  <si>
    <t xml:space="preserve">PISCEXT      </t>
  </si>
  <si>
    <t>EXTRACCION</t>
  </si>
  <si>
    <t xml:space="preserve">NEOLINEO150  </t>
  </si>
  <si>
    <t>EXTRACTOR EN LINEA</t>
  </si>
  <si>
    <t xml:space="preserve">Suministro e instalación de Extractor en lÍnea para conductos marca S&amp;P modelo: TD-350/125 SILENT (230-240V 50/60) RE. Clase ETIM 9.0: EC011013- Version 6.. Codigo Producto: 5211360400
Ventilador helicocentrífugo in-line de bajo perfil, extremadamente silencioso, certificados por la Noise Abatement Society (Asociación para la reducción del ruido), fabricados en material plástico, con elementos acústicos (estructura interna perforada que direcciona las ondas sonoras, y aislamiento interior fonoabsorbente que amortigua el ruido radiado), cuerpo-motor desmontable sin necesidad de tocar los conductos, juntas de goma en impulsión y descarga para absorber las vibraciones, caja de bornes externa orientable 360º, IP44, motor 230V-50Hz, de 2 velocidades, regulables por variación de tensión, Clase B, rodamientos a bolas de engrase permanente, condensador y protector térmico. 
Incluso pp de accesorios y material necesario para su montaje, conexión y soportación.
</t>
  </si>
  <si>
    <t>NEOLINEO150</t>
  </si>
  <si>
    <t xml:space="preserve">CCCG0200     </t>
  </si>
  <si>
    <t>CONDUCTO DE CHAPA GALVANIZADA D200x0,6mm</t>
  </si>
  <si>
    <t>m</t>
  </si>
  <si>
    <t xml:space="preserve">Suministro e instalación de Coducto recto circular en chapa de acero galvanizado de clasificación A1 engatillado en hélice según norma EN 1506, de diámetro 200 mm y 0,6 mm de espesor, fábricado con nervio para aumentar su rigidez, fijados con tornillos autotaladrantes. Incluso pp de accesorios y material necesario para su montaje y soportación.
</t>
  </si>
  <si>
    <t>CCCG0200</t>
  </si>
  <si>
    <t xml:space="preserve">MALLINSD200  </t>
  </si>
  <si>
    <t>MALLA ANTIINSECTOS PARA CONDUCTO D200mm</t>
  </si>
  <si>
    <t xml:space="preserve">Suministro e instalación de malla antiinsectos de acero galvanizado para conexión a conducto circular D200 mm. Incluso pp de accesorios y material necesario para su montaje y soportación.
</t>
  </si>
  <si>
    <t>MALLINSD200</t>
  </si>
  <si>
    <t>PISCEXT</t>
  </si>
  <si>
    <t xml:space="preserve">PISCELEC     </t>
  </si>
  <si>
    <t>ELECTRICIDAD</t>
  </si>
  <si>
    <t xml:space="preserve">CERTINS      </t>
  </si>
  <si>
    <t>CERTIFICADO DE INSTALACION</t>
  </si>
  <si>
    <t xml:space="preserve">Elaboración de certificado de instalacion electrica en baja tensión según REBT2002 por instalador autorizado, de los cuadros eléctricos y la instalación interior derivada. 
</t>
  </si>
  <si>
    <t>CERTINS</t>
  </si>
  <si>
    <t xml:space="preserve">QEL17        </t>
  </si>
  <si>
    <t>SUBCUADRO ELECTRICO PISCINA</t>
  </si>
  <si>
    <t xml:space="preserve">Suministro e instalación de cuadro eléctrico en envolvente de plastico IP54 IK10, con aparamenta según esquemas eléctricos de proyecto, formado por:
- 1 ud interrruptor magentotérmico 20A/4p/10kA/C
- 1 ud interruptor diferencial 25A/4p/AC
- 3 uds interruptor diferencial 40A/2p/AC
- 4 uds interrruptor magentotérmico 10A/2p/6kA/C
- 4 uds interrruptor magentotérmico 16A/2p/6kA/C
- 1 ud guadramotor 1,6-2,5A/3p
- 1 ud contactor 20A/4p
- 2 ud contactor 20A/2p
- 1 ud reloj universal con 3 salidas
- 1 ud proteccion contra sobretensiones (partida separada)
Aparamenta i cuadro eléctrico marca ABB, Siemens o Schneider Electric.
Incluso pp de accesorios para su montaje, conexionado y soportación.
</t>
  </si>
  <si>
    <t>QEL17</t>
  </si>
  <si>
    <t xml:space="preserve">ELPRSOBTR3   </t>
  </si>
  <si>
    <t>PROTECCION CONTRA SOBRETENSIONES TRANSITORIAS CLASE III</t>
  </si>
  <si>
    <t xml:space="preserve">Suministro e instalacion en cuadro eléctrico de dispositivo de protección contra sobretensiones clase III 8/20us (Up&lt;1.1kV - Imax&lt;8kA) 3p+N, debidamente conectado a red de tierras (instalación TT). Incluso protección mediante interruptor magnetotermico 20A/4p curva C Icu=10kA, pp de accesorios y material necesario para su montaje.
</t>
  </si>
  <si>
    <t>ELPRSOBTR3</t>
  </si>
  <si>
    <t xml:space="preserve">AST59976     </t>
  </si>
  <si>
    <t>PROYECTOR MINI LED RGB 4VA</t>
  </si>
  <si>
    <t xml:space="preserve">Suministro e instalación de 1 Ud. Proyector LUMIPLUS MINI V3 RGB con embellecedor efecto inox y un flujo luminoso de186 lm. Potencia Consumo RGB: 7 VA. Marca Astralpool codigo 59972.
1 Ud. Nicho para hormigón codigo 53956.
1 Ud. Kit empalme sumergible. Conexión subacuática para sellar una conexión eléctrica mediante resinas con la máxima seguridad.
1 Ud. Manguera pasacables flexible. Para unión de proyector a caja conexiones. Mangueras de longitud de 1 m. Totalmente instalado y funcionando.
</t>
  </si>
  <si>
    <t>AST59976</t>
  </si>
  <si>
    <t xml:space="preserve">AST52142     </t>
  </si>
  <si>
    <t>MODULADOR DMX</t>
  </si>
  <si>
    <t xml:space="preserve">Suministro e instalación de modulador LUMIPLUS, marca Astral Codigo 27818 en subcuadro eléctrico. Incluso pp de accesorios y elementos de sujeción.
</t>
  </si>
  <si>
    <t>AST52142</t>
  </si>
  <si>
    <t xml:space="preserve">00383-1369   </t>
  </si>
  <si>
    <t>TRANSFORMADOR 100W</t>
  </si>
  <si>
    <t xml:space="preserve">Suministro e instalación transformador 230V-12V de 100 W IP20, marca Astral codigo 00383-1369, instalado en cuadro eléctrico. Incluso pp de accesorios y material necesario para su montaje y conexión.
</t>
  </si>
  <si>
    <t>00383-1369</t>
  </si>
  <si>
    <t xml:space="preserve">CABLE2X4     </t>
  </si>
  <si>
    <t>CABLEADO PROYECTORES</t>
  </si>
  <si>
    <t xml:space="preserve">Suministro e instalación de línea de alumbrado para focos LED RGB formada cable 2x4mm2  RZ1-K(AS) 0,6/1KV , enterrada bajo tubo, incluso pp de accesorios y conexión a transformador y focos.
</t>
  </si>
  <si>
    <t>CABLE2X4</t>
  </si>
  <si>
    <t xml:space="preserve">PTPP025      </t>
  </si>
  <si>
    <t>TUBO CORRUGADO POLIPROPILENO Ø25mm</t>
  </si>
  <si>
    <t>ml</t>
  </si>
  <si>
    <t xml:space="preserve">Suministro e instalación de canalización enterrada mediante tubo de PP de Øexterior 25 mm según UNE-EN 50.086 -2-4. Resistencia a la compresión 450N, Resistencia al impacto Normal. Incluso cable guía, pp de accesorios y elementos necesarios para su conexionado.
</t>
  </si>
  <si>
    <t>Proyectores</t>
  </si>
  <si>
    <t>PTPP025</t>
  </si>
  <si>
    <t xml:space="preserve">PTR020       </t>
  </si>
  <si>
    <t>TUBO RÍGIDO LIBRE DE HALOGENOS Ø20mm</t>
  </si>
  <si>
    <t xml:space="preserve">Suministro e instalación de tubo rígido códigos 432112422010 de Øexterior 20 mm según UNE-EN 50086-2-2, libre de halogenos y no propagador de la llama, en montaje superficial en interiores. Se incluye parte proporcional sujeciones tubo, accesorios y pequeño material. Conexionado y montaje.
</t>
  </si>
  <si>
    <t>PTR020</t>
  </si>
  <si>
    <t xml:space="preserve">AST30825     </t>
  </si>
  <si>
    <t>CAJA CONEXIONES</t>
  </si>
  <si>
    <t xml:space="preserve">Suministro e instalación de caja de conexiones de seguridad fabricadas en ABS, compuesta de 3 entradas o salidas a 3/4''. Acoplamiento rosca 3/4'' y M-25. Marca Astral Codigo 30825. Incluso pp de accesorios y elementos necesarios para sujeción.
</t>
  </si>
  <si>
    <t>AST30825</t>
  </si>
  <si>
    <t xml:space="preserve">C3G1.5       </t>
  </si>
  <si>
    <t>CIRCUITO DE ALIMENTACIÓN 3G1,5mm2</t>
  </si>
  <si>
    <t xml:space="preserve">Suministro e instalación de linea de alimentación, realizado con cable tipo RZ1-k AS 0,6/1kV hasta cajas de derivación y/o ES07Z1-k AS 450/750V hasta receptores, de 3G1,5mm2 en cobre, (UNE 211002, 21123, 21145, 21147.1, 21432.1, 21174, 21172 o IEC 1034, IEEE 383.74) en montaje a definir por DF, en sistema monofásico. Incluida p.p. de cajas derivación, bornes, sujeciones tubos, y canalización mediante tubo rígido en instalación vista.
</t>
  </si>
  <si>
    <t>Maniobra</t>
  </si>
  <si>
    <t>Alumbrado</t>
  </si>
  <si>
    <t>C3G1.5</t>
  </si>
  <si>
    <t xml:space="preserve">C3G2.5       </t>
  </si>
  <si>
    <t>CIRCUITO DE ALIMENTACIÓN 3G2,5mm2</t>
  </si>
  <si>
    <t xml:space="preserve">Suministro e instalación de linea de alimentación, realizado con cable tipo RZ1-k AS 0,6/1kV hasta cajas de derivación y/o ES07Z1-k AS 450/750V hasta receptores, de 3G2,5mm2 en cobre, (UNE 211002, 21123, 21145, 21147.1, 21432.1, 21174, 21172 o IEC 1034, IEEE 383.74) en montaje a definir por DF, en sistema monofásico. Incluida p.p. de cajas derivación, bornes, sujeciones tubos, y canalización mediante tubo rígido en instalación vista.
</t>
  </si>
  <si>
    <t>Tomas auxiliares</t>
  </si>
  <si>
    <t>Extractor</t>
  </si>
  <si>
    <t>Tomas dosificacion</t>
  </si>
  <si>
    <t>Bombas pozo</t>
  </si>
  <si>
    <t>C3G2.5</t>
  </si>
  <si>
    <t xml:space="preserve">C4X2.5       </t>
  </si>
  <si>
    <t>CIRCUITO DE ALIMENTACIÓN 3x2,5+2,5TTmm2</t>
  </si>
  <si>
    <t xml:space="preserve">Suministro e instalación de linea de alimentación, realizado con cable tipo RZ1-k AS 0,6/1kV, de 3x2,5+2,5TTmm2 en cobre, (UNE 211002, 21123, 21145, 21147.1, 21432.1, 21174, 21172 o IEC 1034, IEEE 383.74) en montaje a definir por DF, en sistema trifásico. Incluida p.p. de cajas derivación, bornes, sujeciones tubos, y tubo rígido para instalación vista.
</t>
  </si>
  <si>
    <t>Bombas filtracion</t>
  </si>
  <si>
    <t>C4X2.5</t>
  </si>
  <si>
    <t xml:space="preserve">INT01ES      </t>
  </si>
  <si>
    <t>INTERRUPTOR UNIPOLAR ESTANCO</t>
  </si>
  <si>
    <t>ud</t>
  </si>
  <si>
    <t xml:space="preserve">Suministro e instalación de interruptor unipolar estanco de superficie 10A/1p, marca Bticino, serie Light,  color blanco o similar. Incluye parte proporcional de cable 2x1,5 mm2 libre de halógenos y tubo rígido en canalización vista, y conexionado.
</t>
  </si>
  <si>
    <t>INT01ES</t>
  </si>
  <si>
    <t xml:space="preserve">ENC162PES    </t>
  </si>
  <si>
    <t>BASE DE ENCHUFE 2P+TT 16A ESTANCA</t>
  </si>
  <si>
    <t xml:space="preserve">Suministro e instalación de base enchufe estanca de superfície con toma de tierra lateral, tipo Shucko, marca Bticino, serie Light,  color blanco o similar. Incluye parte proporcional de cable 3x2,5 mm2 libre de halógenos y tubo rígido en canalización vista.
</t>
  </si>
  <si>
    <t>TOMAS AUXILIARES</t>
  </si>
  <si>
    <t>TOMAS DOSIFICACION</t>
  </si>
  <si>
    <t>ENC162PES</t>
  </si>
  <si>
    <t xml:space="preserve">PL01S        </t>
  </si>
  <si>
    <t>PUNTO DE LUZ SIMPLE</t>
  </si>
  <si>
    <t xml:space="preserve">Instalación de punto de luz realizado en tubo PVC rígido M 20 y conductor de cobre unipolar, aislados para una tensión nominal de 750 V. y sección 3x1,5 mm2., (activo, neutro y protección). Incluye 5 metros de cable y tubo, montaje en techo, falso techo o pared de luminaria en canalización superficial.
</t>
  </si>
  <si>
    <t>PL01S</t>
  </si>
  <si>
    <t xml:space="preserve">PLE01S       </t>
  </si>
  <si>
    <t>PUNTO DE LUZ ALUMBRADO DE EMERGENCIA</t>
  </si>
  <si>
    <t xml:space="preserve">Instalación de punto de luz realizado en tubo PVC rígido M 20 y conductor de cobre unipolar, aislados para una tensión nominal de 750 V. y sección 3x1,5 mm2., (activo, neutro y protección). Incluye 6 metros de cable y tubo, montaje en techo, falso techo o pared de luminaria en canalización superficial.
</t>
  </si>
  <si>
    <t>PLE01S</t>
  </si>
  <si>
    <t xml:space="preserve">PFLED29W     </t>
  </si>
  <si>
    <t>PANTALLA ESTANCA LED 29W 3400 lumens L=1500 mm</t>
  </si>
  <si>
    <t xml:space="preserve">Suministro e instalación de pantalla estanca LED de 29W 3400 lúmens 1500mm color de luz blanco neutro 840, IP65 IK08, marca Philips modelo WT120C LED34S/840 PSU L1500, lampara incluida. Incluso pp de accesorios y elementos necesarios de montaje, sujeción y conexionado.
</t>
  </si>
  <si>
    <t>PFLED29W</t>
  </si>
  <si>
    <t xml:space="preserve">MHYA1100000E </t>
  </si>
  <si>
    <t>LUZ DE EMERGENCIA 160lumens IP66 DE SUPERFÍCIE</t>
  </si>
  <si>
    <t xml:space="preserve">Suministro e instalación de luz de emergencia LED de superfície de 160 lúmens IP66 no permanente, con carcasa y difusor fabricados en policarbonato, con batería para una autonomía de 1 hora, aislamiento eléctrico Clase II. Marca Daisalux Modelo HYDRA LD N3 referencia HYA1100000 y caja estanca Marca Daisalux Modelo KES HYDRA referencia HYA1000000. Incluso pp de accesorios y elementos necesarios de montaje, sujeción y conexionado.
</t>
  </si>
  <si>
    <t>MHYA1100000E</t>
  </si>
  <si>
    <t xml:space="preserve">REDTIERRJAC  </t>
  </si>
  <si>
    <t>RED EQUIPOTENCIAL DE TIERRA</t>
  </si>
  <si>
    <t xml:space="preserve">Suministro e instalación de red equipotencial de tierra mediante cable de cobre desnudo 35mm2 (50 mtros), incluso pp de conexionado de todos los elementos metálicos de la piscina y juegos de agua, piquetas para una resistencia de tierra &lt;12 Ohmios..
</t>
  </si>
  <si>
    <t>REDTIERRJAC</t>
  </si>
  <si>
    <t>PISCELEC</t>
  </si>
  <si>
    <t>PISCINA</t>
  </si>
  <si>
    <t>17506</t>
  </si>
  <si>
    <t>Suministro y colocación de Bomba autoaspirante Astralpool Victoria Plus Silent 1CV-400V. El cuerpo de la bomba se caracteriza por prefiltro integrado. Los motores suministrados han sido protegidos con IP-55 y acondicionados para soportar ambientes calurosos y niveles de humedad elevados., caudal de 15 m3/h presión de 11 mca. Incluso reducción de tuberia a diametro nominal de conexiones de bomba, puente manometrico, parte proporcional de elementos mecánicos y material auxiliar necesarios para montaje, conexionado, soporte y sujección.</t>
  </si>
  <si>
    <t>Suministro e instalación de colector de PVC Ø110 con 2 entradas 2xØ75, 1 entrada Ø50 y 1 salida Ø63. Incluye accesorios de conexiones hidráulicas y parte proporcional de elementos mecánicos y material auxiliar necesarios para montaje, conexionado, soporte y sujeción.</t>
  </si>
  <si>
    <t>Suministro, instalación y conexionado de filtro laminado con resina de poliéster + FV, velocidad de filtración 25 m3/h/m2 y una presión max. de trabajo de 2.5 kg/cm2, salida 1 1/2", además de bancada en material plastico resistente, con válvula multiport incorporada, marca ASTRAL modelo VESUBIO Ø600 codigo 15786
. Incluye conexiones hidráulicas, accesorios y parte proporcional de elementos mecánicos y material auxiliar necesarios para montaje, conexionado, soporte y sujeción.</t>
  </si>
  <si>
    <t xml:space="preserve">Suministro e instalación de medio filtrante a base de material activado granulometría 0,5-1 mm instalado en filtro de arena marca DrydenAqua modelo AFM grado 1.
</t>
  </si>
  <si>
    <t>Suministro e instalación de medio filtrante a base de material activado granulometría 1-2 mm instalado en filtro de arena marca DrydenAqua modelo AFM grado 2.</t>
  </si>
  <si>
    <t xml:space="preserve">Suministro, instalación y conexionado de toma de aspiración limpieza mediante Boquilla de aspiración. Para encolar a tubo Ø 50 PN 10. Fabricada en ABS color blanco con tapón rosca 1½”. Conexión terminal 07958 y racord 01393. Cumple con las normas EN 16582-1 y EN 16713-2". Marca ASTRAL codigo 24415 o similar. Incluso reducción de tuberia a diametro nominal de conexiones de bomba, puente manometrico, parte proporcional de elementos mecánicos y material auxiliar necesarios para montaje, conexionado, soporte y sujección.
</t>
  </si>
  <si>
    <t>Suministro e instalación de electroválvula de 1" con acción indirecta, construida con cuerpo de latón y núcleo de acero inoxidable, juntas NBR,  normalmente cerrada, Vac=230V, kv= 190 l/min, marca Genebre modelo 4020 06 220 o similar equivalente.  Incluye conexiones hidráulicas, accesorios y parte proporcional de elementos mecánicos y material auxiliar necesarios para montaje, conexionado, soporte y sujeción.</t>
  </si>
  <si>
    <t>Suministro e instalación de armario portasondas a 3 niveles, (Nivel mínimo de seguridad, Nivel de llenado y Nivel de arranque forzado de la bomba), incluye sondas PTC con 2 metros de cable, IP56, retraso en actuación ajustable de 1 a 60 segundos, marca Astral codigo 12062. Incluye tuberia visor metracrilato D1100mm, conexiones hidráulicas, accesorios y parte proporcional de elementos mecánicos y material auxiliar necesarios para montaje, conexionado, soporte y sujeción.</t>
  </si>
  <si>
    <t>Suministro e instalación de contador de agua fria Woltman con emisor de impulsos  tipo CYBLE de bridas DN50 2". Qn= 25 m3/h.  Marca Astral Codigo 20430.  Incluso conexiones hidráulicas, filtro, accesorios y parte proporcional de elementos mecánicos y material auxiliar necesarios para montaje, conexionado, soporte y sujeción.</t>
  </si>
  <si>
    <t>Suministro e instalación de contador de agua fria de chorro múltiple DN25 1" Roscas 1 1/4". Qn= 3 m3/h.  Incluye conexiones hidráulicas, filtro, accesorios y parte proporcional de elementos mecánicos y material auxiliar necesarios para montaje, conexionado, soporte y sujeción.</t>
  </si>
  <si>
    <t>Suministro e instalación de intercambiador de placas desmontables Marca Sedical Modelo UFP-32 / 31 H - C - PN10, bastidor ST 52.3 / calidad 8.8, 31 placas de TITANIO de 0,5 mm de espesor, juntas Nitrilo HT, temperatura máxima 100ºC, conexiones 1 1/4", Largo, alto, ancho y peso del bastidor: 390 mm/ 480 mm/ 194 mm/ 39 kg
Superfície intercambio efectiva =1,21 m2
Agrupamiento = 1x15/1x15
Coef. global de transmisión (servicio / limpio) =2398.6 / 6793.3 W/m²×ºK
Sobredimensionamiento: 180%
Potencia de intercambio =33,6kWt
Lado calor
Tª entrada =45ºC
Tª salida = 40ºC
Lado frío
Tª entrada=28ºC
Tª salida = 32ºC
Incluso pp de accesorios y elementos para conexión y soportación.</t>
  </si>
  <si>
    <t xml:space="preserve">Suministro e instalación de tubería de PVC PN10 de diámetro 200x7,7 mm según norma UNE-EN 1452. Marca Terrain o similar. Incluso pruebas a presión constante y parte proporcional de accesorios del mismo material o metálicos en transición, elementos mecánicos y material auxiliar necesarios para montaje, conexionado, soporte y sujección. 
</t>
  </si>
  <si>
    <t xml:space="preserve">Suministro e instalación de tubería de PVC PN10 de diámetro 110x4,2 mm según norma UNE-EN 1452. Marca Terrain o similar. Incluso pruebas a presión constante y parte proporcional de accesorios del mismo material o metálicos en transición, elementos mecánicos y material auxiliar necesarios para montaje, conexionado, soporte y sujección. 
</t>
  </si>
  <si>
    <t xml:space="preserve">Suministro e instalación de tubería de PVC PN10 de diámetro 125x4,8 mm según norma UNE-EN 1452. Marca Terrain o similar. Incluso pruebas a presión constante y parte proporcional de accesorios del mismo material o metálicos en transición, elementos mecánicos y material auxiliar necesarios para montaje, conexionado, soporte y sujección. </t>
  </si>
  <si>
    <t xml:space="preserve">Suministro e instalación de tubería de PVC PN10 de diámetro 160x6,2 mm según norma UNE-EN 1452. Marca Terrain o similar. Incluso pruebas a presión constante y parte proporcional de accesorios del mismo material o metálicos en transición, elementos mecánicos y material auxiliar necesarios para montaje, conexionado, soporte y sujección. </t>
  </si>
  <si>
    <t xml:space="preserve">Suministro e instalación de tubería de PVC PN10 de diámetro 90x4,3 mm según norma UNE-EN 1452. Marca Terrain o similar. Incluso pruebas a presión constante y parte proporcional de accesorios del mismo material o metálicos en transición, elementos mecánicos y material auxiliar necesarios para montaje, conexionado, soporte y sujección. 
</t>
  </si>
  <si>
    <t xml:space="preserve">Suministro e instalación de tubería de PVC PN10 de diámetro 63x3 mm según norma UNE-EN 1452. Marca Terrain o similar. Incluso pruebas a presión constante y parte proporcional de accesorios del mismo material o metálicos en transición, elementos mecánicos y material auxiliar necesarios para montaje, conexionado, soporte y sujección. </t>
  </si>
  <si>
    <t xml:space="preserve">Suministro e instalación de tubería de PVC PN10 de diámetro 75x3,6 mm según norma UNE-EN 1452. Marca Terrain o similar. Incluso pruebas a presión constante y parte proporcional de accesorios del mismo material o metálicos en transición, elementos mecánicos y material auxiliar necesarios para montaje, conexionado, soporte y sujección. </t>
  </si>
  <si>
    <t xml:space="preserve">Suministro e instalación de tubería de PVC PN10 de diámetro 50x2,4 mm según norma UNE-EN 1452. Marca Terrain o similar. Incluso pruebas a presión constante y parte proporcional de accesorios del mismo material o metálicos en transición, elementos mecánicos y material auxiliar necesarios para montaje, conexionado, soporte y sujección. </t>
  </si>
  <si>
    <t xml:space="preserve">Suministro e instalación de tubería de PVC PN10 de diámetro 40x1,9 mm según norma UNE-EN 1452. Marca Terrain o similar. Incluso pruebas a presión constante y parte proporcional de accesorios del mismo material o metálicos en transición, elementos mecánicos y material auxiliar necesarios para montaje, conexionado, soporte y sujección. 
</t>
  </si>
  <si>
    <t xml:space="preserve">Suministro e instalación de tubería de PVC PN16 de diámetro 32x2,4 mm según norma UNE-EN 1452. Marca Terrain o similar. Incluso pruebas a presión constante y parte proporcional de accesorios del mismo material o metálicos en transición, elementos mecánicos y material auxiliar necesarios para montaje, conexionado, soporte y sujección. 
</t>
  </si>
  <si>
    <t xml:space="preserve">Suministro e instalación de tubería de PVC PN16 de diámetro 25x1,9 mm según norma UNE-EN 1452. Marca Terrain o similar. Incluso pruebas a presión constante y parte proporcional de accesorios del mismo material o metálicos en transición, elementos mecánicos y material auxiliar necesarios para montaje, conexionado, soporte y sujección. 
</t>
  </si>
  <si>
    <t xml:space="preserve">Suministro e instalación de tubería de PVC PN16 de diámetro 20x1,9 mm según norma UNE-EN 1452. Marca Terrain o similar. Incluso pruebas a presión constante y parte proporcional de accesorios del mismo material o metálicos en transición, elementos mecánicos y material auxiliar necesarios para montaje, conexionado, soporte y sujección. </t>
  </si>
  <si>
    <t xml:space="preserve">Suministro, instalación y conexionado de válvula de corte de mariposa DN100, de Ø110 en cuerpo de PVC, Kv100=8280 l/min,1 bar. Marca CEPEX o similar. Incluye conexiones hidráulicas, accesorios y parte proporcional de elementos mecánicos y material auxiliar necesarios para montaje, conexionado, soporte y sujeción. </t>
  </si>
  <si>
    <t xml:space="preserve">Suministro, instalación y conexionado de válvula de corte de esfera de encolar DN50, de Ø63 en cuerpo de PVC, Kv100=3000 l/min,1 bar. Marca CEPEX o similar. Incluye conexiones hidráulicas, accesorios y parte proporcional de elementos mecánicos y material auxiliar necesarios para montaje, conexionado, soporte y sujeción. 
</t>
  </si>
  <si>
    <t xml:space="preserve">Suministro, instalación y conexionado de válvula de corte de mariposa DN80, de Ø90 en cuerpo de PVC, Kv100=4020 l/min,1 bar. Marca CEPEX o similar. Incluye conexiones hidráulicas, accesorios y parte proporcional de elementos mecánicos y material auxiliar necesarios para montaje, conexionado, soporte y sujeción. </t>
  </si>
  <si>
    <t xml:space="preserve">Suministro, instalación y conexionado de válvula de corte de esfera de encolar DN32, de Ø40 en cuerpo de PVC, Kv100=9800 l/min,1 bar. Marca CEPEX o similar. Incluye conexiones hidráulicas, accesorios y parte proporcional de elementos mecánicos y material auxiliar necesarios para montaje, conexionado, soporte y sujeción. </t>
  </si>
  <si>
    <t xml:space="preserve">Suministro, instalación y conexionado de válvula de retención cierre con muelle  DN50, en cuerpo de PVC, de encolar marca CEPEX o similar. Incluye conexiones hidráulicas, accesorios y parte proporcional de elementos mecánicos y material auxiliar necesarios para montaje, conexionado, soporte y sujeción. </t>
  </si>
  <si>
    <t xml:space="preserve">Suministro, instalación y conexionado de válvula de retención cierre con muelle  DN80 de PVC, de encolar marca CEPEX o similar. Incluye conexiones hidráulicas, accesorios y parte proporcional de elementos mecánicos y material auxiliar necesarios para montaje, conexionado, soporte y sujeción. 
</t>
  </si>
  <si>
    <t xml:space="preserve">Suministro, instalación y conexionado de válvula de retención cierre con muelle  DN32, en cuerpo de PVC, de encolar marca CEPEX o similar. Incluye conexiones hidráulicas, accesorios y parte proporcional de elementos mecánicos y material auxiliar necesarios para montaje, conexionado, soporte y sujeción.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</si>
</sst>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0"/>
      <color theme="1"/>
      <name val="Calibri"/>
      <family val="2"/>
      <scheme val="minor"/>
    </font>
    <font>
      <b/>
      <sz val="14"/>
      <color theme="1"/>
      <name val="Calibri"/>
      <family val="2"/>
      <scheme val="minor"/>
    </font>
    <font>
      <sz val="8"/>
      <color theme="1"/>
      <name val="Calibri"/>
      <family val="2"/>
      <scheme val="minor"/>
    </font>
    <font>
      <b/>
      <sz val="8"/>
      <color theme="1"/>
      <name val="Calibri"/>
      <family val="2"/>
      <scheme val="minor"/>
    </font>
    <font>
      <b/>
      <sz val="8"/>
      <color indexed="10"/>
      <name val="Calibri"/>
      <family val="2"/>
      <scheme val="minor"/>
    </font>
    <font>
      <b/>
      <i/>
      <sz val="10"/>
      <color theme="1"/>
      <name val="Calibri"/>
      <family val="2"/>
      <scheme val="minor"/>
    </font>
  </fonts>
  <fills count="6">
    <fill>
      <patternFill patternType="none"/>
    </fill>
    <fill>
      <patternFill patternType="gray125"/>
    </fill>
    <fill>
      <patternFill patternType="solid">
        <fgColor indexed="26"/>
        <bgColor indexed="64"/>
      </patternFill>
    </fill>
    <fill>
      <patternFill patternType="solid">
        <fgColor indexed="44"/>
        <bgColor indexed="64"/>
      </patternFill>
    </fill>
    <fill>
      <patternFill patternType="solid">
        <fgColor indexed="42"/>
        <bgColor indexed="64"/>
      </patternFill>
    </fill>
    <fill>
      <patternFill patternType="solid">
        <fgColor indexed="8"/>
        <bgColor indexed="64"/>
      </patternFill>
    </fill>
  </fills>
  <borders count="1">
    <border>
      <left/>
      <right/>
      <top/>
      <bottom/>
      <diagonal/>
    </border>
  </borders>
  <cellStyleXfs count="1">
    <xf numFmtId="0" fontId="0" fillId="0" borderId="0"/>
  </cellStyleXfs>
  <cellXfs count="27">
    <xf numFmtId="0" fontId="0" fillId="0" borderId="0" xfId="0"/>
    <xf numFmtId="49" fontId="1" fillId="0" borderId="0" xfId="0" applyNumberFormat="1" applyFont="1"/>
    <xf numFmtId="0" fontId="1" fillId="0" borderId="0" xfId="0" applyFont="1"/>
    <xf numFmtId="49" fontId="2" fillId="0" borderId="0" xfId="0" applyNumberFormat="1" applyFont="1" applyAlignment="1">
      <alignment vertical="top"/>
    </xf>
    <xf numFmtId="0" fontId="2" fillId="0" borderId="0" xfId="0" applyFont="1" applyAlignment="1">
      <alignment vertical="top"/>
    </xf>
    <xf numFmtId="49" fontId="6" fillId="0" borderId="0" xfId="0" applyNumberFormat="1" applyFont="1" applyAlignment="1">
      <alignment vertical="top"/>
    </xf>
    <xf numFmtId="49" fontId="6" fillId="0" borderId="0" xfId="0" applyNumberFormat="1" applyFont="1" applyAlignment="1">
      <alignment horizontal="right" vertical="top"/>
    </xf>
    <xf numFmtId="49" fontId="4" fillId="3" borderId="0" xfId="0" applyNumberFormat="1" applyFont="1" applyFill="1" applyAlignment="1">
      <alignment vertical="top"/>
    </xf>
    <xf numFmtId="0" fontId="4" fillId="3" borderId="0" xfId="0" applyFont="1" applyFill="1" applyAlignment="1">
      <alignment vertical="top"/>
    </xf>
    <xf numFmtId="3" fontId="4" fillId="2" borderId="0" xfId="0" applyNumberFormat="1" applyFont="1" applyFill="1" applyAlignment="1">
      <alignment vertical="top"/>
    </xf>
    <xf numFmtId="4" fontId="4" fillId="2" borderId="0" xfId="0" applyNumberFormat="1" applyFont="1" applyFill="1" applyAlignment="1">
      <alignment vertical="top"/>
    </xf>
    <xf numFmtId="0" fontId="3" fillId="0" borderId="0" xfId="0" applyFont="1" applyAlignment="1">
      <alignment vertical="top"/>
    </xf>
    <xf numFmtId="49" fontId="4" fillId="4" borderId="0" xfId="0" applyNumberFormat="1" applyFont="1" applyFill="1" applyAlignment="1">
      <alignment vertical="top"/>
    </xf>
    <xf numFmtId="0" fontId="4" fillId="4" borderId="0" xfId="0" applyFont="1" applyFill="1" applyAlignment="1">
      <alignment vertical="top"/>
    </xf>
    <xf numFmtId="49" fontId="3" fillId="0" borderId="0" xfId="0" applyNumberFormat="1" applyFont="1" applyAlignment="1">
      <alignment vertical="top"/>
    </xf>
    <xf numFmtId="4" fontId="3" fillId="2" borderId="0" xfId="0" applyNumberFormat="1" applyFont="1" applyFill="1" applyAlignment="1">
      <alignment vertical="top"/>
    </xf>
    <xf numFmtId="0" fontId="3" fillId="0" borderId="0" xfId="0" applyFont="1" applyAlignment="1">
      <alignment vertical="top" wrapText="1"/>
    </xf>
    <xf numFmtId="4" fontId="3" fillId="0" borderId="0" xfId="0" applyNumberFormat="1" applyFont="1" applyAlignment="1">
      <alignment vertical="top"/>
    </xf>
    <xf numFmtId="49" fontId="4" fillId="0" borderId="0" xfId="0" applyNumberFormat="1" applyFont="1" applyAlignment="1">
      <alignment vertical="top"/>
    </xf>
    <xf numFmtId="0" fontId="3" fillId="5" borderId="0" xfId="0" applyFont="1" applyFill="1" applyAlignment="1">
      <alignment vertical="top"/>
    </xf>
    <xf numFmtId="4" fontId="5" fillId="2" borderId="0" xfId="0" applyNumberFormat="1" applyFont="1" applyFill="1" applyAlignment="1">
      <alignment vertical="top"/>
    </xf>
    <xf numFmtId="3" fontId="3" fillId="0" borderId="0" xfId="0" applyNumberFormat="1" applyFont="1" applyAlignment="1">
      <alignment vertical="top"/>
    </xf>
    <xf numFmtId="49" fontId="6" fillId="0" borderId="0" xfId="0" applyNumberFormat="1" applyFont="1" applyAlignment="1">
      <alignment vertical="top" wrapText="1"/>
    </xf>
    <xf numFmtId="49" fontId="4" fillId="3" borderId="0" xfId="0" applyNumberFormat="1" applyFont="1" applyFill="1" applyAlignment="1">
      <alignment vertical="top" wrapText="1"/>
    </xf>
    <xf numFmtId="49" fontId="4" fillId="4" borderId="0" xfId="0" applyNumberFormat="1" applyFont="1" applyFill="1" applyAlignment="1">
      <alignment vertical="top" wrapText="1"/>
    </xf>
    <xf numFmtId="49" fontId="3" fillId="0" borderId="0" xfId="0" applyNumberFormat="1" applyFont="1" applyAlignment="1">
      <alignment vertical="top" wrapText="1"/>
    </xf>
    <xf numFmtId="0" fontId="3"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48"/>
  <sheetViews>
    <sheetView tabSelected="1" workbookViewId="0">
      <pane xSplit="4" ySplit="3" topLeftCell="E163" activePane="bottomRight" state="frozen"/>
      <selection pane="topRight" activeCell="E1" sqref="E1"/>
      <selection pane="bottomLeft" activeCell="A4" sqref="A4"/>
      <selection pane="bottomRight" activeCell="D205" sqref="D205:D207"/>
    </sheetView>
  </sheetViews>
  <sheetFormatPr baseColWidth="10" defaultRowHeight="15" x14ac:dyDescent="0.25"/>
  <cols>
    <col min="1" max="1" width="15.5703125" bestFit="1" customWidth="1"/>
    <col min="2" max="2" width="6.5703125" customWidth="1"/>
    <col min="3" max="3" width="3.7109375" customWidth="1"/>
    <col min="4" max="4" width="83.140625" customWidth="1"/>
    <col min="5" max="5" width="19.7109375" bestFit="1" customWidth="1"/>
    <col min="6" max="6" width="3.5703125" customWidth="1"/>
    <col min="7" max="7" width="8.5703125" customWidth="1"/>
    <col min="8" max="8" width="8.140625" customWidth="1"/>
    <col min="9" max="9" width="6.5703125" customWidth="1"/>
    <col min="10" max="10" width="12.28515625" bestFit="1" customWidth="1"/>
    <col min="11" max="11" width="7.85546875" customWidth="1"/>
    <col min="12" max="12" width="6.5703125" customWidth="1"/>
    <col min="13" max="13" width="7.7109375" customWidth="1"/>
  </cols>
  <sheetData>
    <row r="1" spans="1:13" x14ac:dyDescent="0.25">
      <c r="A1" s="1" t="s">
        <v>0</v>
      </c>
      <c r="B1" s="2"/>
      <c r="C1" s="2"/>
      <c r="D1" s="2"/>
      <c r="E1" s="2"/>
      <c r="F1" s="2"/>
      <c r="G1" s="2"/>
      <c r="H1" s="2"/>
      <c r="I1" s="2"/>
      <c r="J1" s="2"/>
      <c r="K1" s="2"/>
      <c r="L1" s="2"/>
      <c r="M1" s="2"/>
    </row>
    <row r="2" spans="1:13" ht="18.75" x14ac:dyDescent="0.25">
      <c r="A2" s="3" t="s">
        <v>1</v>
      </c>
      <c r="B2" s="4"/>
      <c r="C2" s="4"/>
      <c r="D2" s="4"/>
      <c r="E2" s="4"/>
      <c r="F2" s="4"/>
      <c r="G2" s="4"/>
      <c r="H2" s="4"/>
      <c r="I2" s="4"/>
      <c r="J2" s="4"/>
      <c r="K2" s="4"/>
      <c r="L2" s="4"/>
      <c r="M2" s="4"/>
    </row>
    <row r="3" spans="1:13" x14ac:dyDescent="0.25">
      <c r="A3" s="5" t="s">
        <v>2</v>
      </c>
      <c r="B3" s="5" t="s">
        <v>5</v>
      </c>
      <c r="C3" s="5" t="s">
        <v>6</v>
      </c>
      <c r="D3" s="22" t="s">
        <v>3</v>
      </c>
      <c r="E3" s="5" t="s">
        <v>9</v>
      </c>
      <c r="F3" s="6" t="s">
        <v>10</v>
      </c>
      <c r="G3" s="6" t="s">
        <v>11</v>
      </c>
      <c r="H3" s="6" t="s">
        <v>12</v>
      </c>
      <c r="I3" s="6" t="s">
        <v>13</v>
      </c>
      <c r="J3" s="6" t="s">
        <v>14</v>
      </c>
      <c r="K3" s="6" t="s">
        <v>7</v>
      </c>
      <c r="L3" s="6" t="s">
        <v>8</v>
      </c>
      <c r="M3" s="6" t="s">
        <v>4</v>
      </c>
    </row>
    <row r="4" spans="1:13" x14ac:dyDescent="0.25">
      <c r="A4" s="7" t="s">
        <v>15</v>
      </c>
      <c r="B4" s="7" t="s">
        <v>17</v>
      </c>
      <c r="C4" s="7" t="s">
        <v>18</v>
      </c>
      <c r="D4" s="23" t="s">
        <v>16</v>
      </c>
      <c r="E4" s="8"/>
      <c r="F4" s="8"/>
      <c r="G4" s="8"/>
      <c r="H4" s="8"/>
      <c r="I4" s="8"/>
      <c r="J4" s="8"/>
      <c r="K4" s="9">
        <f>K445</f>
        <v>1</v>
      </c>
      <c r="L4" s="10">
        <f>L445</f>
        <v>0</v>
      </c>
      <c r="M4" s="10">
        <f>M445</f>
        <v>0</v>
      </c>
    </row>
    <row r="5" spans="1:13" x14ac:dyDescent="0.25">
      <c r="A5" s="11"/>
      <c r="B5" s="11"/>
      <c r="C5" s="11"/>
      <c r="D5" s="16"/>
      <c r="E5" s="11"/>
      <c r="F5" s="11"/>
      <c r="G5" s="11"/>
      <c r="H5" s="11"/>
      <c r="I5" s="11"/>
      <c r="J5" s="11"/>
      <c r="K5" s="11"/>
      <c r="L5" s="11"/>
      <c r="M5" s="11"/>
    </row>
    <row r="6" spans="1:13" x14ac:dyDescent="0.25">
      <c r="A6" s="12" t="s">
        <v>19</v>
      </c>
      <c r="B6" s="12" t="s">
        <v>17</v>
      </c>
      <c r="C6" s="12" t="s">
        <v>18</v>
      </c>
      <c r="D6" s="24" t="s">
        <v>20</v>
      </c>
      <c r="E6" s="13"/>
      <c r="F6" s="13"/>
      <c r="G6" s="13"/>
      <c r="H6" s="13"/>
      <c r="I6" s="13"/>
      <c r="J6" s="13"/>
      <c r="K6" s="10">
        <f>K83</f>
        <v>1</v>
      </c>
      <c r="L6" s="10">
        <f>L83</f>
        <v>0</v>
      </c>
      <c r="M6" s="10">
        <f>M83</f>
        <v>0</v>
      </c>
    </row>
    <row r="7" spans="1:13" x14ac:dyDescent="0.25">
      <c r="A7" s="11"/>
      <c r="B7" s="11"/>
      <c r="C7" s="11"/>
      <c r="D7" s="16"/>
      <c r="E7" s="11"/>
      <c r="F7" s="11"/>
      <c r="G7" s="11"/>
      <c r="H7" s="11"/>
      <c r="I7" s="11"/>
      <c r="J7" s="11"/>
      <c r="K7" s="11"/>
      <c r="L7" s="11"/>
      <c r="M7" s="11"/>
    </row>
    <row r="8" spans="1:13" x14ac:dyDescent="0.25">
      <c r="A8" s="14" t="s">
        <v>21</v>
      </c>
      <c r="B8" s="14" t="s">
        <v>23</v>
      </c>
      <c r="C8" s="14" t="s">
        <v>24</v>
      </c>
      <c r="D8" s="25" t="s">
        <v>22</v>
      </c>
      <c r="E8" s="11"/>
      <c r="F8" s="11"/>
      <c r="G8" s="11"/>
      <c r="H8" s="11"/>
      <c r="I8" s="11"/>
      <c r="J8" s="11"/>
      <c r="K8" s="15">
        <f>K11</f>
        <v>1</v>
      </c>
      <c r="L8" s="15">
        <f>L11</f>
        <v>0</v>
      </c>
      <c r="M8" s="15">
        <f>M11</f>
        <v>0</v>
      </c>
    </row>
    <row r="9" spans="1:13" ht="56.25" x14ac:dyDescent="0.25">
      <c r="A9" s="11"/>
      <c r="B9" s="11"/>
      <c r="C9" s="11"/>
      <c r="D9" s="16" t="s">
        <v>402</v>
      </c>
      <c r="E9" s="11"/>
      <c r="F9" s="11"/>
      <c r="G9" s="11"/>
      <c r="H9" s="11"/>
      <c r="I9" s="11"/>
      <c r="J9" s="11"/>
      <c r="K9" s="11"/>
      <c r="L9" s="11"/>
      <c r="M9" s="11"/>
    </row>
    <row r="10" spans="1:13" x14ac:dyDescent="0.25">
      <c r="A10" s="11"/>
      <c r="B10" s="11"/>
      <c r="C10" s="11"/>
      <c r="D10" s="16"/>
      <c r="E10" s="14" t="s">
        <v>18</v>
      </c>
      <c r="F10" s="11">
        <v>1</v>
      </c>
      <c r="G10" s="17">
        <v>0</v>
      </c>
      <c r="H10" s="17">
        <v>0</v>
      </c>
      <c r="I10" s="17">
        <v>0</v>
      </c>
      <c r="J10" s="15">
        <f>F10*(G10+ (G10= 0))*(H10+ (H10= 0))*(I10+ (I10= 0))</f>
        <v>1</v>
      </c>
      <c r="K10" s="11"/>
      <c r="L10" s="11"/>
      <c r="M10" s="11"/>
    </row>
    <row r="11" spans="1:13" x14ac:dyDescent="0.25">
      <c r="A11" s="11"/>
      <c r="B11" s="11"/>
      <c r="C11" s="11"/>
      <c r="D11" s="16"/>
      <c r="E11" s="11"/>
      <c r="F11" s="11"/>
      <c r="G11" s="11"/>
      <c r="H11" s="11"/>
      <c r="I11" s="11"/>
      <c r="J11" s="18" t="s">
        <v>25</v>
      </c>
      <c r="K11" s="10">
        <f>SUM(J10:J10)</f>
        <v>1</v>
      </c>
      <c r="L11" s="17">
        <v>0</v>
      </c>
      <c r="M11" s="10">
        <f>ROUND(L11*K11,2)</f>
        <v>0</v>
      </c>
    </row>
    <row r="12" spans="1:13" x14ac:dyDescent="0.25">
      <c r="A12" s="19"/>
      <c r="B12" s="19"/>
      <c r="C12" s="19"/>
      <c r="D12" s="26"/>
      <c r="E12" s="19"/>
      <c r="F12" s="19"/>
      <c r="G12" s="19"/>
      <c r="H12" s="19"/>
      <c r="I12" s="19"/>
      <c r="J12" s="19"/>
      <c r="K12" s="19"/>
      <c r="L12" s="19"/>
      <c r="M12" s="19"/>
    </row>
    <row r="13" spans="1:13" x14ac:dyDescent="0.25">
      <c r="A13" s="14" t="s">
        <v>26</v>
      </c>
      <c r="B13" s="14" t="s">
        <v>23</v>
      </c>
      <c r="C13" s="14" t="s">
        <v>24</v>
      </c>
      <c r="D13" s="25" t="s">
        <v>27</v>
      </c>
      <c r="E13" s="11"/>
      <c r="F13" s="11"/>
      <c r="G13" s="11"/>
      <c r="H13" s="11"/>
      <c r="I13" s="11"/>
      <c r="J13" s="11"/>
      <c r="K13" s="15">
        <f>K16</f>
        <v>1</v>
      </c>
      <c r="L13" s="15">
        <f>L16</f>
        <v>0</v>
      </c>
      <c r="M13" s="15">
        <f>M16</f>
        <v>0</v>
      </c>
    </row>
    <row r="14" spans="1:13" ht="33.75" x14ac:dyDescent="0.25">
      <c r="A14" s="11"/>
      <c r="B14" s="11"/>
      <c r="C14" s="11"/>
      <c r="D14" s="16" t="s">
        <v>403</v>
      </c>
      <c r="E14" s="11"/>
      <c r="F14" s="11"/>
      <c r="G14" s="11"/>
      <c r="H14" s="11"/>
      <c r="I14" s="11"/>
      <c r="J14" s="11"/>
      <c r="K14" s="11"/>
      <c r="L14" s="11"/>
      <c r="M14" s="11"/>
    </row>
    <row r="15" spans="1:13" x14ac:dyDescent="0.25">
      <c r="A15" s="11"/>
      <c r="B15" s="11"/>
      <c r="C15" s="11"/>
      <c r="D15" s="16"/>
      <c r="E15" s="14" t="s">
        <v>18</v>
      </c>
      <c r="F15" s="11">
        <v>1</v>
      </c>
      <c r="G15" s="17">
        <v>0</v>
      </c>
      <c r="H15" s="17">
        <v>0</v>
      </c>
      <c r="I15" s="17">
        <v>0</v>
      </c>
      <c r="J15" s="15">
        <f>F15*(G15+ (G15= 0))*(H15+ (H15= 0))*(I15+ (I15= 0))</f>
        <v>1</v>
      </c>
      <c r="K15" s="11"/>
      <c r="L15" s="11"/>
      <c r="M15" s="11"/>
    </row>
    <row r="16" spans="1:13" x14ac:dyDescent="0.25">
      <c r="A16" s="11"/>
      <c r="B16" s="11"/>
      <c r="C16" s="11"/>
      <c r="D16" s="16"/>
      <c r="E16" s="11"/>
      <c r="F16" s="11"/>
      <c r="G16" s="11"/>
      <c r="H16" s="11"/>
      <c r="I16" s="11"/>
      <c r="J16" s="18" t="s">
        <v>28</v>
      </c>
      <c r="K16" s="10">
        <f>SUM(J15:J15)</f>
        <v>1</v>
      </c>
      <c r="L16" s="17">
        <v>0</v>
      </c>
      <c r="M16" s="10">
        <f>ROUND(L16*K16,2)</f>
        <v>0</v>
      </c>
    </row>
    <row r="17" spans="1:13" x14ac:dyDescent="0.25">
      <c r="A17" s="19"/>
      <c r="B17" s="19"/>
      <c r="C17" s="19"/>
      <c r="D17" s="26"/>
      <c r="E17" s="19"/>
      <c r="F17" s="19"/>
      <c r="G17" s="19"/>
      <c r="H17" s="19"/>
      <c r="I17" s="19"/>
      <c r="J17" s="19"/>
      <c r="K17" s="19"/>
      <c r="L17" s="19"/>
      <c r="M17" s="19"/>
    </row>
    <row r="18" spans="1:13" x14ac:dyDescent="0.25">
      <c r="A18" s="14" t="s">
        <v>29</v>
      </c>
      <c r="B18" s="14" t="s">
        <v>23</v>
      </c>
      <c r="C18" s="14" t="s">
        <v>24</v>
      </c>
      <c r="D18" s="25" t="s">
        <v>30</v>
      </c>
      <c r="E18" s="11"/>
      <c r="F18" s="11"/>
      <c r="G18" s="11"/>
      <c r="H18" s="11"/>
      <c r="I18" s="11"/>
      <c r="J18" s="11"/>
      <c r="K18" s="15">
        <f>K21</f>
        <v>2</v>
      </c>
      <c r="L18" s="15">
        <f>L21</f>
        <v>0</v>
      </c>
      <c r="M18" s="15">
        <f>M21</f>
        <v>0</v>
      </c>
    </row>
    <row r="19" spans="1:13" ht="56.25" x14ac:dyDescent="0.25">
      <c r="A19" s="11"/>
      <c r="B19" s="11"/>
      <c r="C19" s="11"/>
      <c r="D19" s="16" t="s">
        <v>404</v>
      </c>
      <c r="E19" s="11"/>
      <c r="F19" s="11"/>
      <c r="G19" s="11"/>
      <c r="H19" s="11"/>
      <c r="I19" s="11"/>
      <c r="J19" s="11"/>
      <c r="K19" s="11"/>
      <c r="L19" s="11"/>
      <c r="M19" s="11"/>
    </row>
    <row r="20" spans="1:13" x14ac:dyDescent="0.25">
      <c r="A20" s="11"/>
      <c r="B20" s="11"/>
      <c r="C20" s="11"/>
      <c r="D20" s="16"/>
      <c r="E20" s="14" t="s">
        <v>18</v>
      </c>
      <c r="F20" s="11">
        <v>2</v>
      </c>
      <c r="G20" s="17">
        <v>0</v>
      </c>
      <c r="H20" s="17">
        <v>0</v>
      </c>
      <c r="I20" s="17">
        <v>0</v>
      </c>
      <c r="J20" s="15">
        <f>F20*(G20+ (G20= 0))*(H20+ (H20= 0))*(I20+ (I20= 0))</f>
        <v>2</v>
      </c>
      <c r="K20" s="11"/>
      <c r="L20" s="11"/>
      <c r="M20" s="11"/>
    </row>
    <row r="21" spans="1:13" x14ac:dyDescent="0.25">
      <c r="A21" s="11"/>
      <c r="B21" s="11"/>
      <c r="C21" s="11"/>
      <c r="D21" s="16"/>
      <c r="E21" s="11"/>
      <c r="F21" s="11"/>
      <c r="G21" s="11"/>
      <c r="H21" s="11"/>
      <c r="I21" s="11"/>
      <c r="J21" s="18" t="s">
        <v>31</v>
      </c>
      <c r="K21" s="10">
        <f>SUM(J20:J20)</f>
        <v>2</v>
      </c>
      <c r="L21" s="17">
        <v>0</v>
      </c>
      <c r="M21" s="10">
        <f>ROUND(L21*K21,2)</f>
        <v>0</v>
      </c>
    </row>
    <row r="22" spans="1:13" x14ac:dyDescent="0.25">
      <c r="A22" s="19"/>
      <c r="B22" s="19"/>
      <c r="C22" s="19"/>
      <c r="D22" s="26"/>
      <c r="E22" s="19"/>
      <c r="F22" s="19"/>
      <c r="G22" s="19"/>
      <c r="H22" s="19"/>
      <c r="I22" s="19"/>
      <c r="J22" s="19"/>
      <c r="K22" s="19"/>
      <c r="L22" s="19"/>
      <c r="M22" s="19"/>
    </row>
    <row r="23" spans="1:13" x14ac:dyDescent="0.25">
      <c r="A23" s="14" t="s">
        <v>32</v>
      </c>
      <c r="B23" s="14" t="s">
        <v>23</v>
      </c>
      <c r="C23" s="14" t="s">
        <v>34</v>
      </c>
      <c r="D23" s="25" t="s">
        <v>33</v>
      </c>
      <c r="E23" s="11"/>
      <c r="F23" s="11"/>
      <c r="G23" s="11"/>
      <c r="H23" s="11"/>
      <c r="I23" s="11"/>
      <c r="J23" s="11"/>
      <c r="K23" s="15">
        <f>K26</f>
        <v>248</v>
      </c>
      <c r="L23" s="15">
        <f>L26</f>
        <v>0</v>
      </c>
      <c r="M23" s="15">
        <f>M26</f>
        <v>0</v>
      </c>
    </row>
    <row r="24" spans="1:13" ht="33.75" x14ac:dyDescent="0.25">
      <c r="A24" s="11"/>
      <c r="B24" s="11"/>
      <c r="C24" s="11"/>
      <c r="D24" s="16" t="s">
        <v>405</v>
      </c>
      <c r="E24" s="11"/>
      <c r="F24" s="11"/>
      <c r="G24" s="11"/>
      <c r="H24" s="11"/>
      <c r="I24" s="11"/>
      <c r="J24" s="11"/>
      <c r="K24" s="11"/>
      <c r="L24" s="11"/>
      <c r="M24" s="11"/>
    </row>
    <row r="25" spans="1:13" x14ac:dyDescent="0.25">
      <c r="A25" s="11"/>
      <c r="B25" s="11"/>
      <c r="C25" s="11"/>
      <c r="D25" s="16"/>
      <c r="E25" s="14" t="s">
        <v>35</v>
      </c>
      <c r="F25" s="11">
        <v>2</v>
      </c>
      <c r="G25" s="17">
        <v>124</v>
      </c>
      <c r="H25" s="17">
        <v>0</v>
      </c>
      <c r="I25" s="17">
        <v>0</v>
      </c>
      <c r="J25" s="15">
        <f>F25*(G25+ (G25= 0))*(H25+ (H25= 0))*(I25+ (I25= 0))</f>
        <v>248</v>
      </c>
      <c r="K25" s="11"/>
      <c r="L25" s="11"/>
      <c r="M25" s="11"/>
    </row>
    <row r="26" spans="1:13" x14ac:dyDescent="0.25">
      <c r="A26" s="11"/>
      <c r="B26" s="11"/>
      <c r="C26" s="11"/>
      <c r="D26" s="16"/>
      <c r="E26" s="11"/>
      <c r="F26" s="11"/>
      <c r="G26" s="11"/>
      <c r="H26" s="11"/>
      <c r="I26" s="11"/>
      <c r="J26" s="18" t="s">
        <v>36</v>
      </c>
      <c r="K26" s="10">
        <f>SUM(J25:J25)</f>
        <v>248</v>
      </c>
      <c r="L26" s="17">
        <v>0</v>
      </c>
      <c r="M26" s="10">
        <f>ROUND(L26*K26,2)</f>
        <v>0</v>
      </c>
    </row>
    <row r="27" spans="1:13" x14ac:dyDescent="0.25">
      <c r="A27" s="19"/>
      <c r="B27" s="19"/>
      <c r="C27" s="19"/>
      <c r="D27" s="26"/>
      <c r="E27" s="19"/>
      <c r="F27" s="19"/>
      <c r="G27" s="19"/>
      <c r="H27" s="19"/>
      <c r="I27" s="19"/>
      <c r="J27" s="19"/>
      <c r="K27" s="19"/>
      <c r="L27" s="19"/>
      <c r="M27" s="19"/>
    </row>
    <row r="28" spans="1:13" x14ac:dyDescent="0.25">
      <c r="A28" s="14" t="s">
        <v>37</v>
      </c>
      <c r="B28" s="14" t="s">
        <v>23</v>
      </c>
      <c r="C28" s="14" t="s">
        <v>34</v>
      </c>
      <c r="D28" s="25" t="s">
        <v>38</v>
      </c>
      <c r="E28" s="11"/>
      <c r="F28" s="11"/>
      <c r="G28" s="11"/>
      <c r="H28" s="11"/>
      <c r="I28" s="11"/>
      <c r="J28" s="11"/>
      <c r="K28" s="17">
        <v>0</v>
      </c>
      <c r="L28" s="17">
        <v>0</v>
      </c>
      <c r="M28" s="15">
        <f>ROUND(K28*L28,2)</f>
        <v>0</v>
      </c>
    </row>
    <row r="29" spans="1:13" ht="45" x14ac:dyDescent="0.25">
      <c r="A29" s="11"/>
      <c r="B29" s="11"/>
      <c r="C29" s="11"/>
      <c r="D29" s="16" t="s">
        <v>39</v>
      </c>
      <c r="E29" s="11"/>
      <c r="F29" s="11"/>
      <c r="G29" s="11"/>
      <c r="H29" s="11"/>
      <c r="I29" s="11"/>
      <c r="J29" s="11"/>
      <c r="K29" s="11"/>
      <c r="L29" s="11"/>
      <c r="M29" s="11"/>
    </row>
    <row r="30" spans="1:13" x14ac:dyDescent="0.25">
      <c r="A30" s="14" t="s">
        <v>40</v>
      </c>
      <c r="B30" s="14" t="s">
        <v>23</v>
      </c>
      <c r="C30" s="14" t="s">
        <v>34</v>
      </c>
      <c r="D30" s="25" t="s">
        <v>41</v>
      </c>
      <c r="E30" s="11"/>
      <c r="F30" s="11"/>
      <c r="G30" s="11"/>
      <c r="H30" s="11"/>
      <c r="I30" s="11"/>
      <c r="J30" s="11"/>
      <c r="K30" s="17">
        <v>0</v>
      </c>
      <c r="L30" s="17">
        <v>0</v>
      </c>
      <c r="M30" s="15">
        <f>ROUND(K30*L30,2)</f>
        <v>0</v>
      </c>
    </row>
    <row r="31" spans="1:13" ht="22.5" x14ac:dyDescent="0.25">
      <c r="A31" s="11"/>
      <c r="B31" s="11"/>
      <c r="C31" s="11"/>
      <c r="D31" s="16" t="s">
        <v>406</v>
      </c>
      <c r="E31" s="11"/>
      <c r="F31" s="11"/>
      <c r="G31" s="11"/>
      <c r="H31" s="11"/>
      <c r="I31" s="11"/>
      <c r="J31" s="11"/>
      <c r="K31" s="11"/>
      <c r="L31" s="11"/>
      <c r="M31" s="11"/>
    </row>
    <row r="32" spans="1:13" x14ac:dyDescent="0.25">
      <c r="A32" s="14" t="s">
        <v>42</v>
      </c>
      <c r="B32" s="14" t="s">
        <v>23</v>
      </c>
      <c r="C32" s="14" t="s">
        <v>24</v>
      </c>
      <c r="D32" s="25" t="s">
        <v>43</v>
      </c>
      <c r="E32" s="11"/>
      <c r="F32" s="11"/>
      <c r="G32" s="11"/>
      <c r="H32" s="11"/>
      <c r="I32" s="11"/>
      <c r="J32" s="11"/>
      <c r="K32" s="15">
        <f>K35</f>
        <v>2</v>
      </c>
      <c r="L32" s="15">
        <f>L35</f>
        <v>0</v>
      </c>
      <c r="M32" s="15">
        <f>M35</f>
        <v>0</v>
      </c>
    </row>
    <row r="33" spans="1:13" ht="45" x14ac:dyDescent="0.25">
      <c r="A33" s="11"/>
      <c r="B33" s="11"/>
      <c r="C33" s="11"/>
      <c r="D33" s="16" t="s">
        <v>44</v>
      </c>
      <c r="E33" s="11"/>
      <c r="F33" s="11"/>
      <c r="G33" s="11"/>
      <c r="H33" s="11"/>
      <c r="I33" s="11"/>
      <c r="J33" s="11"/>
      <c r="K33" s="11"/>
      <c r="L33" s="11"/>
      <c r="M33" s="11"/>
    </row>
    <row r="34" spans="1:13" x14ac:dyDescent="0.25">
      <c r="A34" s="11"/>
      <c r="B34" s="11"/>
      <c r="C34" s="11"/>
      <c r="D34" s="16"/>
      <c r="E34" s="14" t="s">
        <v>45</v>
      </c>
      <c r="F34" s="11">
        <v>2</v>
      </c>
      <c r="G34" s="17">
        <v>0</v>
      </c>
      <c r="H34" s="17">
        <v>0</v>
      </c>
      <c r="I34" s="17">
        <v>0</v>
      </c>
      <c r="J34" s="15">
        <f>F34*(G34+ (G34= 0))*(H34+ (H34= 0))*(I34+ (I34= 0))</f>
        <v>2</v>
      </c>
      <c r="K34" s="11"/>
      <c r="L34" s="11"/>
      <c r="M34" s="11"/>
    </row>
    <row r="35" spans="1:13" x14ac:dyDescent="0.25">
      <c r="A35" s="11"/>
      <c r="B35" s="11"/>
      <c r="C35" s="11"/>
      <c r="D35" s="16"/>
      <c r="E35" s="11"/>
      <c r="F35" s="11"/>
      <c r="G35" s="11"/>
      <c r="H35" s="11"/>
      <c r="I35" s="11"/>
      <c r="J35" s="18" t="s">
        <v>46</v>
      </c>
      <c r="K35" s="10">
        <f>SUM(J34:J34)</f>
        <v>2</v>
      </c>
      <c r="L35" s="17">
        <v>0</v>
      </c>
      <c r="M35" s="10">
        <f>ROUND(L35*K35,2)</f>
        <v>0</v>
      </c>
    </row>
    <row r="36" spans="1:13" x14ac:dyDescent="0.25">
      <c r="A36" s="19"/>
      <c r="B36" s="19"/>
      <c r="C36" s="19"/>
      <c r="D36" s="26"/>
      <c r="E36" s="19"/>
      <c r="F36" s="19"/>
      <c r="G36" s="19"/>
      <c r="H36" s="19"/>
      <c r="I36" s="19"/>
      <c r="J36" s="19"/>
      <c r="K36" s="19"/>
      <c r="L36" s="19"/>
      <c r="M36" s="19"/>
    </row>
    <row r="37" spans="1:13" x14ac:dyDescent="0.25">
      <c r="A37" s="14" t="s">
        <v>47</v>
      </c>
      <c r="B37" s="14" t="s">
        <v>23</v>
      </c>
      <c r="C37" s="14" t="s">
        <v>24</v>
      </c>
      <c r="D37" s="25" t="s">
        <v>48</v>
      </c>
      <c r="E37" s="11"/>
      <c r="F37" s="11"/>
      <c r="G37" s="11"/>
      <c r="H37" s="11"/>
      <c r="I37" s="11"/>
      <c r="J37" s="11"/>
      <c r="K37" s="15">
        <f>K40</f>
        <v>1</v>
      </c>
      <c r="L37" s="15">
        <f>L40</f>
        <v>0</v>
      </c>
      <c r="M37" s="15">
        <f>M40</f>
        <v>0</v>
      </c>
    </row>
    <row r="38" spans="1:13" ht="67.5" x14ac:dyDescent="0.25">
      <c r="A38" s="11"/>
      <c r="B38" s="11"/>
      <c r="C38" s="11"/>
      <c r="D38" s="16" t="s">
        <v>407</v>
      </c>
      <c r="E38" s="11"/>
      <c r="F38" s="11"/>
      <c r="G38" s="11"/>
      <c r="H38" s="11"/>
      <c r="I38" s="11"/>
      <c r="J38" s="11"/>
      <c r="K38" s="11"/>
      <c r="L38" s="11"/>
      <c r="M38" s="11"/>
    </row>
    <row r="39" spans="1:13" x14ac:dyDescent="0.25">
      <c r="A39" s="11"/>
      <c r="B39" s="11"/>
      <c r="C39" s="11"/>
      <c r="D39" s="16"/>
      <c r="E39" s="14" t="s">
        <v>18</v>
      </c>
      <c r="F39" s="11">
        <v>1</v>
      </c>
      <c r="G39" s="17">
        <v>0</v>
      </c>
      <c r="H39" s="17">
        <v>0</v>
      </c>
      <c r="I39" s="17">
        <v>0</v>
      </c>
      <c r="J39" s="15">
        <f>F39*(G39+ (G39= 0))*(H39+ (H39= 0))*(I39+ (I39= 0))</f>
        <v>1</v>
      </c>
      <c r="K39" s="11"/>
      <c r="L39" s="11"/>
      <c r="M39" s="11"/>
    </row>
    <row r="40" spans="1:13" x14ac:dyDescent="0.25">
      <c r="A40" s="11"/>
      <c r="B40" s="11"/>
      <c r="C40" s="11"/>
      <c r="D40" s="16"/>
      <c r="E40" s="11"/>
      <c r="F40" s="11"/>
      <c r="G40" s="11"/>
      <c r="H40" s="11"/>
      <c r="I40" s="11"/>
      <c r="J40" s="18" t="s">
        <v>49</v>
      </c>
      <c r="K40" s="10">
        <f>SUM(J39:J39)</f>
        <v>1</v>
      </c>
      <c r="L40" s="17">
        <v>0</v>
      </c>
      <c r="M40" s="10">
        <f>ROUND(L40*K40,2)</f>
        <v>0</v>
      </c>
    </row>
    <row r="41" spans="1:13" x14ac:dyDescent="0.25">
      <c r="A41" s="19"/>
      <c r="B41" s="19"/>
      <c r="C41" s="19"/>
      <c r="D41" s="26"/>
      <c r="E41" s="19"/>
      <c r="F41" s="19"/>
      <c r="G41" s="19"/>
      <c r="H41" s="19"/>
      <c r="I41" s="19"/>
      <c r="J41" s="19"/>
      <c r="K41" s="19"/>
      <c r="L41" s="19"/>
      <c r="M41" s="19"/>
    </row>
    <row r="42" spans="1:13" x14ac:dyDescent="0.25">
      <c r="A42" s="14" t="s">
        <v>50</v>
      </c>
      <c r="B42" s="14" t="s">
        <v>23</v>
      </c>
      <c r="C42" s="14" t="s">
        <v>24</v>
      </c>
      <c r="D42" s="25" t="s">
        <v>51</v>
      </c>
      <c r="E42" s="11"/>
      <c r="F42" s="11"/>
      <c r="G42" s="11"/>
      <c r="H42" s="11"/>
      <c r="I42" s="11"/>
      <c r="J42" s="11"/>
      <c r="K42" s="15">
        <f>K45</f>
        <v>2</v>
      </c>
      <c r="L42" s="15">
        <f>L45</f>
        <v>0</v>
      </c>
      <c r="M42" s="15">
        <f>M45</f>
        <v>0</v>
      </c>
    </row>
    <row r="43" spans="1:13" ht="56.25" x14ac:dyDescent="0.25">
      <c r="A43" s="11"/>
      <c r="B43" s="11"/>
      <c r="C43" s="11"/>
      <c r="D43" s="16" t="s">
        <v>52</v>
      </c>
      <c r="E43" s="11"/>
      <c r="F43" s="11"/>
      <c r="G43" s="11"/>
      <c r="H43" s="11"/>
      <c r="I43" s="11"/>
      <c r="J43" s="11"/>
      <c r="K43" s="11"/>
      <c r="L43" s="11"/>
      <c r="M43" s="11"/>
    </row>
    <row r="44" spans="1:13" x14ac:dyDescent="0.25">
      <c r="A44" s="11"/>
      <c r="B44" s="11"/>
      <c r="C44" s="11"/>
      <c r="D44" s="16"/>
      <c r="E44" s="14" t="s">
        <v>18</v>
      </c>
      <c r="F44" s="11">
        <v>2</v>
      </c>
      <c r="G44" s="17">
        <v>0</v>
      </c>
      <c r="H44" s="17">
        <v>0</v>
      </c>
      <c r="I44" s="17">
        <v>0</v>
      </c>
      <c r="J44" s="15">
        <f>F44*(G44+ (G44= 0))*(H44+ (H44= 0))*(I44+ (I44= 0))</f>
        <v>2</v>
      </c>
      <c r="K44" s="11"/>
      <c r="L44" s="11"/>
      <c r="M44" s="11"/>
    </row>
    <row r="45" spans="1:13" x14ac:dyDescent="0.25">
      <c r="A45" s="11"/>
      <c r="B45" s="11"/>
      <c r="C45" s="11"/>
      <c r="D45" s="16"/>
      <c r="E45" s="11"/>
      <c r="F45" s="11"/>
      <c r="G45" s="11"/>
      <c r="H45" s="11"/>
      <c r="I45" s="11"/>
      <c r="J45" s="18" t="s">
        <v>53</v>
      </c>
      <c r="K45" s="10">
        <f>SUM(J44:J44)</f>
        <v>2</v>
      </c>
      <c r="L45" s="17">
        <v>0</v>
      </c>
      <c r="M45" s="10">
        <f>ROUND(L45*K45,2)</f>
        <v>0</v>
      </c>
    </row>
    <row r="46" spans="1:13" x14ac:dyDescent="0.25">
      <c r="A46" s="19"/>
      <c r="B46" s="19"/>
      <c r="C46" s="19"/>
      <c r="D46" s="26"/>
      <c r="E46" s="19"/>
      <c r="F46" s="19"/>
      <c r="G46" s="19"/>
      <c r="H46" s="19"/>
      <c r="I46" s="19"/>
      <c r="J46" s="19"/>
      <c r="K46" s="19"/>
      <c r="L46" s="19"/>
      <c r="M46" s="19"/>
    </row>
    <row r="47" spans="1:13" x14ac:dyDescent="0.25">
      <c r="A47" s="14" t="s">
        <v>54</v>
      </c>
      <c r="B47" s="14" t="s">
        <v>23</v>
      </c>
      <c r="C47" s="14" t="s">
        <v>24</v>
      </c>
      <c r="D47" s="25" t="s">
        <v>55</v>
      </c>
      <c r="E47" s="11"/>
      <c r="F47" s="11"/>
      <c r="G47" s="11"/>
      <c r="H47" s="11"/>
      <c r="I47" s="11"/>
      <c r="J47" s="11"/>
      <c r="K47" s="15">
        <f>K51</f>
        <v>38</v>
      </c>
      <c r="L47" s="15">
        <f>L51</f>
        <v>0</v>
      </c>
      <c r="M47" s="15">
        <f>M51</f>
        <v>0</v>
      </c>
    </row>
    <row r="48" spans="1:13" ht="67.5" x14ac:dyDescent="0.25">
      <c r="A48" s="11"/>
      <c r="B48" s="11"/>
      <c r="C48" s="11"/>
      <c r="D48" s="16" t="s">
        <v>56</v>
      </c>
      <c r="E48" s="11"/>
      <c r="F48" s="11"/>
      <c r="G48" s="11"/>
      <c r="H48" s="11"/>
      <c r="I48" s="11"/>
      <c r="J48" s="11"/>
      <c r="K48" s="11"/>
      <c r="L48" s="11"/>
      <c r="M48" s="11"/>
    </row>
    <row r="49" spans="1:13" x14ac:dyDescent="0.25">
      <c r="A49" s="11"/>
      <c r="B49" s="11"/>
      <c r="C49" s="11"/>
      <c r="D49" s="16"/>
      <c r="E49" s="14" t="s">
        <v>57</v>
      </c>
      <c r="F49" s="11">
        <v>0</v>
      </c>
      <c r="G49" s="17">
        <v>0</v>
      </c>
      <c r="H49" s="17">
        <v>0</v>
      </c>
      <c r="I49" s="17">
        <v>0</v>
      </c>
      <c r="J49" s="15">
        <f>F49*(G49+ (G49= 0))*(H49+ (H49= 0))*(I49+ (I49= 0))</f>
        <v>0</v>
      </c>
      <c r="K49" s="11"/>
      <c r="L49" s="11"/>
      <c r="M49" s="11"/>
    </row>
    <row r="50" spans="1:13" x14ac:dyDescent="0.25">
      <c r="A50" s="11"/>
      <c r="B50" s="11"/>
      <c r="C50" s="11"/>
      <c r="D50" s="16"/>
      <c r="E50" s="14" t="s">
        <v>58</v>
      </c>
      <c r="F50" s="11">
        <v>2</v>
      </c>
      <c r="G50" s="17">
        <v>19</v>
      </c>
      <c r="H50" s="17">
        <v>0</v>
      </c>
      <c r="I50" s="17">
        <v>0</v>
      </c>
      <c r="J50" s="15">
        <f>F50*(G50+ (G50= 0))*(H50+ (H50= 0))*(I50+ (I50= 0))</f>
        <v>38</v>
      </c>
      <c r="K50" s="11"/>
      <c r="L50" s="11"/>
      <c r="M50" s="11"/>
    </row>
    <row r="51" spans="1:13" x14ac:dyDescent="0.25">
      <c r="A51" s="11"/>
      <c r="B51" s="11"/>
      <c r="C51" s="11"/>
      <c r="D51" s="16"/>
      <c r="E51" s="11"/>
      <c r="F51" s="11"/>
      <c r="G51" s="11"/>
      <c r="H51" s="11"/>
      <c r="I51" s="11"/>
      <c r="J51" s="18" t="s">
        <v>59</v>
      </c>
      <c r="K51" s="10">
        <f>SUM(J49:J50)</f>
        <v>38</v>
      </c>
      <c r="L51" s="17">
        <v>0</v>
      </c>
      <c r="M51" s="10">
        <f>ROUND(L51*K51,2)</f>
        <v>0</v>
      </c>
    </row>
    <row r="52" spans="1:13" x14ac:dyDescent="0.25">
      <c r="A52" s="19"/>
      <c r="B52" s="19"/>
      <c r="C52" s="19"/>
      <c r="D52" s="26"/>
      <c r="E52" s="19"/>
      <c r="F52" s="19"/>
      <c r="G52" s="19"/>
      <c r="H52" s="19"/>
      <c r="I52" s="19"/>
      <c r="J52" s="19"/>
      <c r="K52" s="19"/>
      <c r="L52" s="19"/>
      <c r="M52" s="19"/>
    </row>
    <row r="53" spans="1:13" x14ac:dyDescent="0.25">
      <c r="A53" s="14" t="s">
        <v>60</v>
      </c>
      <c r="B53" s="14" t="s">
        <v>23</v>
      </c>
      <c r="C53" s="14" t="s">
        <v>24</v>
      </c>
      <c r="D53" s="25" t="s">
        <v>61</v>
      </c>
      <c r="E53" s="11"/>
      <c r="F53" s="11"/>
      <c r="G53" s="11"/>
      <c r="H53" s="11"/>
      <c r="I53" s="11"/>
      <c r="J53" s="11"/>
      <c r="K53" s="15">
        <f>K56</f>
        <v>1</v>
      </c>
      <c r="L53" s="15">
        <f>L56</f>
        <v>0</v>
      </c>
      <c r="M53" s="15">
        <f>M56</f>
        <v>0</v>
      </c>
    </row>
    <row r="54" spans="1:13" ht="45" x14ac:dyDescent="0.25">
      <c r="A54" s="11"/>
      <c r="B54" s="11"/>
      <c r="C54" s="11"/>
      <c r="D54" s="16" t="s">
        <v>408</v>
      </c>
      <c r="E54" s="11"/>
      <c r="F54" s="11"/>
      <c r="G54" s="11"/>
      <c r="H54" s="11"/>
      <c r="I54" s="11"/>
      <c r="J54" s="11"/>
      <c r="K54" s="11"/>
      <c r="L54" s="11"/>
      <c r="M54" s="11"/>
    </row>
    <row r="55" spans="1:13" x14ac:dyDescent="0.25">
      <c r="A55" s="11"/>
      <c r="B55" s="11"/>
      <c r="C55" s="11"/>
      <c r="D55" s="16"/>
      <c r="E55" s="14" t="s">
        <v>62</v>
      </c>
      <c r="F55" s="11">
        <v>1</v>
      </c>
      <c r="G55" s="17">
        <v>0</v>
      </c>
      <c r="H55" s="17">
        <v>0</v>
      </c>
      <c r="I55" s="17">
        <v>0</v>
      </c>
      <c r="J55" s="15">
        <f>F55*(G55+ (G55= 0))*(H55+ (H55= 0))*(I55+ (I55= 0))</f>
        <v>1</v>
      </c>
      <c r="K55" s="11"/>
      <c r="L55" s="11"/>
      <c r="M55" s="11"/>
    </row>
    <row r="56" spans="1:13" x14ac:dyDescent="0.25">
      <c r="A56" s="11"/>
      <c r="B56" s="11"/>
      <c r="C56" s="11"/>
      <c r="D56" s="16"/>
      <c r="E56" s="11"/>
      <c r="F56" s="11"/>
      <c r="G56" s="11"/>
      <c r="H56" s="11"/>
      <c r="I56" s="11"/>
      <c r="J56" s="18" t="s">
        <v>63</v>
      </c>
      <c r="K56" s="10">
        <f>SUM(J55:J55)</f>
        <v>1</v>
      </c>
      <c r="L56" s="17">
        <v>0</v>
      </c>
      <c r="M56" s="10">
        <f>ROUND(L56*K56,2)</f>
        <v>0</v>
      </c>
    </row>
    <row r="57" spans="1:13" x14ac:dyDescent="0.25">
      <c r="A57" s="19"/>
      <c r="B57" s="19"/>
      <c r="C57" s="19"/>
      <c r="D57" s="26"/>
      <c r="E57" s="19"/>
      <c r="F57" s="19"/>
      <c r="G57" s="19"/>
      <c r="H57" s="19"/>
      <c r="I57" s="19"/>
      <c r="J57" s="19"/>
      <c r="K57" s="19"/>
      <c r="L57" s="19"/>
      <c r="M57" s="19"/>
    </row>
    <row r="58" spans="1:13" x14ac:dyDescent="0.25">
      <c r="A58" s="14" t="s">
        <v>64</v>
      </c>
      <c r="B58" s="14" t="s">
        <v>23</v>
      </c>
      <c r="C58" s="14" t="s">
        <v>24</v>
      </c>
      <c r="D58" s="25" t="s">
        <v>65</v>
      </c>
      <c r="E58" s="11"/>
      <c r="F58" s="11"/>
      <c r="G58" s="11"/>
      <c r="H58" s="11"/>
      <c r="I58" s="11"/>
      <c r="J58" s="11"/>
      <c r="K58" s="15">
        <f>K61</f>
        <v>1</v>
      </c>
      <c r="L58" s="15">
        <f>L61</f>
        <v>0</v>
      </c>
      <c r="M58" s="15">
        <f>M61</f>
        <v>0</v>
      </c>
    </row>
    <row r="59" spans="1:13" ht="56.25" x14ac:dyDescent="0.25">
      <c r="A59" s="11"/>
      <c r="B59" s="11"/>
      <c r="C59" s="11"/>
      <c r="D59" s="16" t="s">
        <v>409</v>
      </c>
      <c r="E59" s="11"/>
      <c r="F59" s="11"/>
      <c r="G59" s="11"/>
      <c r="H59" s="11"/>
      <c r="I59" s="11"/>
      <c r="J59" s="11"/>
      <c r="K59" s="11"/>
      <c r="L59" s="11"/>
      <c r="M59" s="11"/>
    </row>
    <row r="60" spans="1:13" x14ac:dyDescent="0.25">
      <c r="A60" s="11"/>
      <c r="B60" s="11"/>
      <c r="C60" s="11"/>
      <c r="D60" s="16"/>
      <c r="E60" s="14" t="s">
        <v>66</v>
      </c>
      <c r="F60" s="11">
        <v>1</v>
      </c>
      <c r="G60" s="17">
        <v>0</v>
      </c>
      <c r="H60" s="17">
        <v>0</v>
      </c>
      <c r="I60" s="17">
        <v>0</v>
      </c>
      <c r="J60" s="15">
        <f>F60*(G60+ (G60= 0))*(H60+ (H60= 0))*(I60+ (I60= 0))</f>
        <v>1</v>
      </c>
      <c r="K60" s="11"/>
      <c r="L60" s="11"/>
      <c r="M60" s="11"/>
    </row>
    <row r="61" spans="1:13" x14ac:dyDescent="0.25">
      <c r="A61" s="11"/>
      <c r="B61" s="11"/>
      <c r="C61" s="11"/>
      <c r="D61" s="16"/>
      <c r="E61" s="11"/>
      <c r="F61" s="11"/>
      <c r="G61" s="11"/>
      <c r="H61" s="11"/>
      <c r="I61" s="11"/>
      <c r="J61" s="18" t="s">
        <v>67</v>
      </c>
      <c r="K61" s="10">
        <f>SUM(J60:J60)</f>
        <v>1</v>
      </c>
      <c r="L61" s="17">
        <v>0</v>
      </c>
      <c r="M61" s="10">
        <f>ROUND(L61*K61,2)</f>
        <v>0</v>
      </c>
    </row>
    <row r="62" spans="1:13" x14ac:dyDescent="0.25">
      <c r="A62" s="19"/>
      <c r="B62" s="19"/>
      <c r="C62" s="19"/>
      <c r="D62" s="26"/>
      <c r="E62" s="19"/>
      <c r="F62" s="19"/>
      <c r="G62" s="19"/>
      <c r="H62" s="19"/>
      <c r="I62" s="19"/>
      <c r="J62" s="19"/>
      <c r="K62" s="19"/>
      <c r="L62" s="19"/>
      <c r="M62" s="19"/>
    </row>
    <row r="63" spans="1:13" x14ac:dyDescent="0.25">
      <c r="A63" s="14" t="s">
        <v>68</v>
      </c>
      <c r="B63" s="14" t="s">
        <v>23</v>
      </c>
      <c r="C63" s="14" t="s">
        <v>24</v>
      </c>
      <c r="D63" s="25" t="s">
        <v>69</v>
      </c>
      <c r="E63" s="11"/>
      <c r="F63" s="11"/>
      <c r="G63" s="11"/>
      <c r="H63" s="11"/>
      <c r="I63" s="11"/>
      <c r="J63" s="11"/>
      <c r="K63" s="15">
        <f>K66</f>
        <v>1</v>
      </c>
      <c r="L63" s="15">
        <f>L66</f>
        <v>0</v>
      </c>
      <c r="M63" s="15">
        <f>M66</f>
        <v>0</v>
      </c>
    </row>
    <row r="64" spans="1:13" ht="33.75" x14ac:dyDescent="0.25">
      <c r="A64" s="11"/>
      <c r="B64" s="11"/>
      <c r="C64" s="11"/>
      <c r="D64" s="16" t="s">
        <v>411</v>
      </c>
      <c r="E64" s="11"/>
      <c r="F64" s="11"/>
      <c r="G64" s="11"/>
      <c r="H64" s="11"/>
      <c r="I64" s="11"/>
      <c r="J64" s="11"/>
      <c r="K64" s="11"/>
      <c r="L64" s="11"/>
      <c r="M64" s="11"/>
    </row>
    <row r="65" spans="1:13" x14ac:dyDescent="0.25">
      <c r="A65" s="11"/>
      <c r="B65" s="11"/>
      <c r="C65" s="11"/>
      <c r="D65" s="16"/>
      <c r="E65" s="14" t="s">
        <v>70</v>
      </c>
      <c r="F65" s="11">
        <v>1</v>
      </c>
      <c r="G65" s="17">
        <v>0</v>
      </c>
      <c r="H65" s="17">
        <v>0</v>
      </c>
      <c r="I65" s="17">
        <v>0</v>
      </c>
      <c r="J65" s="15">
        <f>F65*(G65+ (G65= 0))*(H65+ (H65= 0))*(I65+ (I65= 0))</f>
        <v>1</v>
      </c>
      <c r="K65" s="11"/>
      <c r="L65" s="11"/>
      <c r="M65" s="11"/>
    </row>
    <row r="66" spans="1:13" x14ac:dyDescent="0.25">
      <c r="A66" s="11"/>
      <c r="B66" s="11"/>
      <c r="C66" s="11"/>
      <c r="D66" s="16"/>
      <c r="E66" s="11"/>
      <c r="F66" s="11"/>
      <c r="G66" s="11"/>
      <c r="H66" s="11"/>
      <c r="I66" s="11"/>
      <c r="J66" s="18" t="s">
        <v>71</v>
      </c>
      <c r="K66" s="10">
        <f>SUM(J65:J65)</f>
        <v>1</v>
      </c>
      <c r="L66" s="17">
        <v>0</v>
      </c>
      <c r="M66" s="10">
        <f>ROUND(L66*K66,2)</f>
        <v>0</v>
      </c>
    </row>
    <row r="67" spans="1:13" x14ac:dyDescent="0.25">
      <c r="A67" s="19"/>
      <c r="B67" s="19"/>
      <c r="C67" s="19"/>
      <c r="D67" s="26"/>
      <c r="E67" s="19"/>
      <c r="F67" s="19"/>
      <c r="G67" s="19"/>
      <c r="H67" s="19"/>
      <c r="I67" s="19"/>
      <c r="J67" s="19"/>
      <c r="K67" s="19"/>
      <c r="L67" s="19"/>
      <c r="M67" s="19"/>
    </row>
    <row r="68" spans="1:13" x14ac:dyDescent="0.25">
      <c r="A68" s="14" t="s">
        <v>72</v>
      </c>
      <c r="B68" s="14" t="s">
        <v>23</v>
      </c>
      <c r="C68" s="14" t="s">
        <v>24</v>
      </c>
      <c r="D68" s="25" t="s">
        <v>73</v>
      </c>
      <c r="E68" s="11"/>
      <c r="F68" s="11"/>
      <c r="G68" s="11"/>
      <c r="H68" s="11"/>
      <c r="I68" s="11"/>
      <c r="J68" s="11"/>
      <c r="K68" s="15">
        <f>K71</f>
        <v>1</v>
      </c>
      <c r="L68" s="15">
        <f>L71</f>
        <v>0</v>
      </c>
      <c r="M68" s="15">
        <f>M71</f>
        <v>0</v>
      </c>
    </row>
    <row r="69" spans="1:13" ht="33.75" x14ac:dyDescent="0.25">
      <c r="A69" s="11"/>
      <c r="B69" s="11"/>
      <c r="C69" s="11"/>
      <c r="D69" s="16" t="s">
        <v>410</v>
      </c>
      <c r="E69" s="11"/>
      <c r="F69" s="11"/>
      <c r="G69" s="11"/>
      <c r="H69" s="11"/>
      <c r="I69" s="11"/>
      <c r="J69" s="11"/>
      <c r="K69" s="11"/>
      <c r="L69" s="11"/>
      <c r="M69" s="11"/>
    </row>
    <row r="70" spans="1:13" x14ac:dyDescent="0.25">
      <c r="A70" s="11"/>
      <c r="B70" s="11"/>
      <c r="C70" s="11"/>
      <c r="D70" s="16"/>
      <c r="E70" s="14" t="s">
        <v>74</v>
      </c>
      <c r="F70" s="11">
        <v>1</v>
      </c>
      <c r="G70" s="17">
        <v>0</v>
      </c>
      <c r="H70" s="17">
        <v>0</v>
      </c>
      <c r="I70" s="17">
        <v>0</v>
      </c>
      <c r="J70" s="15">
        <f>F70*(G70+ (G70= 0))*(H70+ (H70= 0))*(I70+ (I70= 0))</f>
        <v>1</v>
      </c>
      <c r="K70" s="11"/>
      <c r="L70" s="11"/>
      <c r="M70" s="11"/>
    </row>
    <row r="71" spans="1:13" x14ac:dyDescent="0.25">
      <c r="A71" s="11"/>
      <c r="B71" s="11"/>
      <c r="C71" s="11"/>
      <c r="D71" s="16"/>
      <c r="E71" s="11"/>
      <c r="F71" s="11"/>
      <c r="G71" s="11"/>
      <c r="H71" s="11"/>
      <c r="I71" s="11"/>
      <c r="J71" s="18" t="s">
        <v>75</v>
      </c>
      <c r="K71" s="10">
        <f>SUM(J70:J70)</f>
        <v>1</v>
      </c>
      <c r="L71" s="17">
        <v>0</v>
      </c>
      <c r="M71" s="10">
        <f>ROUND(L71*K71,2)</f>
        <v>0</v>
      </c>
    </row>
    <row r="72" spans="1:13" x14ac:dyDescent="0.25">
      <c r="A72" s="19"/>
      <c r="B72" s="19"/>
      <c r="C72" s="19"/>
      <c r="D72" s="26"/>
      <c r="E72" s="19"/>
      <c r="F72" s="19"/>
      <c r="G72" s="19"/>
      <c r="H72" s="19"/>
      <c r="I72" s="19"/>
      <c r="J72" s="19"/>
      <c r="K72" s="19"/>
      <c r="L72" s="19"/>
      <c r="M72" s="19"/>
    </row>
    <row r="73" spans="1:13" x14ac:dyDescent="0.25">
      <c r="A73" s="14" t="s">
        <v>76</v>
      </c>
      <c r="B73" s="14" t="s">
        <v>23</v>
      </c>
      <c r="C73" s="14" t="s">
        <v>24</v>
      </c>
      <c r="D73" s="25" t="s">
        <v>77</v>
      </c>
      <c r="E73" s="11"/>
      <c r="F73" s="11"/>
      <c r="G73" s="11"/>
      <c r="H73" s="11"/>
      <c r="I73" s="11"/>
      <c r="J73" s="11"/>
      <c r="K73" s="15">
        <f>K76</f>
        <v>1</v>
      </c>
      <c r="L73" s="15">
        <f>L76</f>
        <v>0</v>
      </c>
      <c r="M73" s="15">
        <f>M76</f>
        <v>0</v>
      </c>
    </row>
    <row r="74" spans="1:13" ht="33.75" x14ac:dyDescent="0.25">
      <c r="A74" s="11"/>
      <c r="B74" s="11"/>
      <c r="C74" s="11"/>
      <c r="D74" s="16" t="s">
        <v>78</v>
      </c>
      <c r="E74" s="11"/>
      <c r="F74" s="11"/>
      <c r="G74" s="11"/>
      <c r="H74" s="11"/>
      <c r="I74" s="11"/>
      <c r="J74" s="11"/>
      <c r="K74" s="11"/>
      <c r="L74" s="11"/>
      <c r="M74" s="11"/>
    </row>
    <row r="75" spans="1:13" x14ac:dyDescent="0.25">
      <c r="A75" s="11"/>
      <c r="B75" s="11"/>
      <c r="C75" s="11"/>
      <c r="D75" s="16"/>
      <c r="E75" s="14" t="s">
        <v>18</v>
      </c>
      <c r="F75" s="11">
        <v>1</v>
      </c>
      <c r="G75" s="17">
        <v>0</v>
      </c>
      <c r="H75" s="17">
        <v>0</v>
      </c>
      <c r="I75" s="17">
        <v>0</v>
      </c>
      <c r="J75" s="15">
        <f>F75*(G75+ (G75= 0))*(H75+ (H75= 0))*(I75+ (I75= 0))</f>
        <v>1</v>
      </c>
      <c r="K75" s="11"/>
      <c r="L75" s="11"/>
      <c r="M75" s="11"/>
    </row>
    <row r="76" spans="1:13" x14ac:dyDescent="0.25">
      <c r="A76" s="11"/>
      <c r="B76" s="11"/>
      <c r="C76" s="11"/>
      <c r="D76" s="16"/>
      <c r="E76" s="11"/>
      <c r="F76" s="11"/>
      <c r="G76" s="11"/>
      <c r="H76" s="11"/>
      <c r="I76" s="11"/>
      <c r="J76" s="18" t="s">
        <v>79</v>
      </c>
      <c r="K76" s="10">
        <f>SUM(J75:J75)</f>
        <v>1</v>
      </c>
      <c r="L76" s="17">
        <v>0</v>
      </c>
      <c r="M76" s="10">
        <f>ROUND(L76*K76,2)</f>
        <v>0</v>
      </c>
    </row>
    <row r="77" spans="1:13" x14ac:dyDescent="0.25">
      <c r="A77" s="19"/>
      <c r="B77" s="19"/>
      <c r="C77" s="19"/>
      <c r="D77" s="26"/>
      <c r="E77" s="19"/>
      <c r="F77" s="19"/>
      <c r="G77" s="19"/>
      <c r="H77" s="19"/>
      <c r="I77" s="19"/>
      <c r="J77" s="19"/>
      <c r="K77" s="19"/>
      <c r="L77" s="19"/>
      <c r="M77" s="19"/>
    </row>
    <row r="78" spans="1:13" x14ac:dyDescent="0.25">
      <c r="A78" s="14" t="s">
        <v>80</v>
      </c>
      <c r="B78" s="14" t="s">
        <v>23</v>
      </c>
      <c r="C78" s="14" t="s">
        <v>24</v>
      </c>
      <c r="D78" s="25" t="s">
        <v>81</v>
      </c>
      <c r="E78" s="11"/>
      <c r="F78" s="11"/>
      <c r="G78" s="11"/>
      <c r="H78" s="11"/>
      <c r="I78" s="11"/>
      <c r="J78" s="11"/>
      <c r="K78" s="15">
        <f>K81</f>
        <v>1</v>
      </c>
      <c r="L78" s="15">
        <f>L81</f>
        <v>0</v>
      </c>
      <c r="M78" s="15">
        <f>M81</f>
        <v>0</v>
      </c>
    </row>
    <row r="79" spans="1:13" ht="209.25" customHeight="1" x14ac:dyDescent="0.25">
      <c r="A79" s="11"/>
      <c r="B79" s="11"/>
      <c r="C79" s="11"/>
      <c r="D79" s="16" t="s">
        <v>412</v>
      </c>
      <c r="E79" s="11"/>
      <c r="F79" s="11"/>
      <c r="G79" s="11"/>
      <c r="H79" s="11"/>
      <c r="I79" s="11"/>
      <c r="J79" s="11"/>
      <c r="K79" s="11"/>
      <c r="L79" s="11"/>
      <c r="M79" s="11"/>
    </row>
    <row r="80" spans="1:13" x14ac:dyDescent="0.25">
      <c r="A80" s="11"/>
      <c r="B80" s="11"/>
      <c r="C80" s="11"/>
      <c r="D80" s="16"/>
      <c r="E80" s="14" t="s">
        <v>82</v>
      </c>
      <c r="F80" s="11">
        <v>1</v>
      </c>
      <c r="G80" s="17">
        <v>0</v>
      </c>
      <c r="H80" s="17">
        <v>0</v>
      </c>
      <c r="I80" s="17">
        <v>0</v>
      </c>
      <c r="J80" s="15">
        <f>F80*(G80+ (G80= 0))*(H80+ (H80= 0))*(I80+ (I80= 0))</f>
        <v>1</v>
      </c>
      <c r="K80" s="11"/>
      <c r="L80" s="11"/>
      <c r="M80" s="11"/>
    </row>
    <row r="81" spans="1:13" x14ac:dyDescent="0.25">
      <c r="A81" s="11"/>
      <c r="B81" s="11"/>
      <c r="C81" s="11"/>
      <c r="D81" s="16"/>
      <c r="E81" s="11"/>
      <c r="F81" s="11"/>
      <c r="G81" s="11"/>
      <c r="H81" s="11"/>
      <c r="I81" s="11"/>
      <c r="J81" s="18" t="s">
        <v>83</v>
      </c>
      <c r="K81" s="10">
        <f>SUM(J80:J80)</f>
        <v>1</v>
      </c>
      <c r="L81" s="17">
        <v>0</v>
      </c>
      <c r="M81" s="10">
        <f>ROUND(L81*K81,2)</f>
        <v>0</v>
      </c>
    </row>
    <row r="82" spans="1:13" x14ac:dyDescent="0.25">
      <c r="A82" s="19"/>
      <c r="B82" s="19"/>
      <c r="C82" s="19"/>
      <c r="D82" s="26"/>
      <c r="E82" s="19"/>
      <c r="F82" s="19"/>
      <c r="G82" s="19"/>
      <c r="H82" s="19"/>
      <c r="I82" s="19"/>
      <c r="J82" s="19"/>
      <c r="K82" s="19"/>
      <c r="L82" s="19"/>
      <c r="M82" s="19"/>
    </row>
    <row r="83" spans="1:13" x14ac:dyDescent="0.25">
      <c r="A83" s="11"/>
      <c r="B83" s="11"/>
      <c r="C83" s="11"/>
      <c r="D83" s="16"/>
      <c r="E83" s="11"/>
      <c r="F83" s="11"/>
      <c r="G83" s="11"/>
      <c r="H83" s="11"/>
      <c r="I83" s="11"/>
      <c r="J83" s="18" t="s">
        <v>84</v>
      </c>
      <c r="K83" s="17">
        <v>1</v>
      </c>
      <c r="L83" s="10">
        <f>M11+M16+M21+M26+M28+M30+M35+M40+M45+M51+M56+M61+M66+M71+M76+M81</f>
        <v>0</v>
      </c>
      <c r="M83" s="10">
        <f>ROUND(L83*K83,2)</f>
        <v>0</v>
      </c>
    </row>
    <row r="84" spans="1:13" x14ac:dyDescent="0.25">
      <c r="A84" s="19"/>
      <c r="B84" s="19"/>
      <c r="C84" s="19"/>
      <c r="D84" s="26"/>
      <c r="E84" s="19"/>
      <c r="F84" s="19"/>
      <c r="G84" s="19"/>
      <c r="H84" s="19"/>
      <c r="I84" s="19"/>
      <c r="J84" s="19"/>
      <c r="K84" s="19"/>
      <c r="L84" s="19"/>
      <c r="M84" s="19"/>
    </row>
    <row r="85" spans="1:13" x14ac:dyDescent="0.25">
      <c r="A85" s="12" t="s">
        <v>85</v>
      </c>
      <c r="B85" s="12" t="s">
        <v>17</v>
      </c>
      <c r="C85" s="12" t="s">
        <v>18</v>
      </c>
      <c r="D85" s="24" t="s">
        <v>86</v>
      </c>
      <c r="E85" s="13"/>
      <c r="F85" s="13"/>
      <c r="G85" s="13"/>
      <c r="H85" s="13"/>
      <c r="I85" s="13"/>
      <c r="J85" s="13"/>
      <c r="K85" s="10">
        <f>K138</f>
        <v>1</v>
      </c>
      <c r="L85" s="10">
        <f>L138</f>
        <v>0</v>
      </c>
      <c r="M85" s="10">
        <f>M138</f>
        <v>0</v>
      </c>
    </row>
    <row r="86" spans="1:13" x14ac:dyDescent="0.25">
      <c r="A86" s="11"/>
      <c r="B86" s="11"/>
      <c r="C86" s="11"/>
      <c r="D86" s="16"/>
      <c r="E86" s="11"/>
      <c r="F86" s="11"/>
      <c r="G86" s="11"/>
      <c r="H86" s="11"/>
      <c r="I86" s="11"/>
      <c r="J86" s="11"/>
      <c r="K86" s="11"/>
      <c r="L86" s="11"/>
      <c r="M86" s="11"/>
    </row>
    <row r="87" spans="1:13" x14ac:dyDescent="0.25">
      <c r="A87" s="14" t="s">
        <v>87</v>
      </c>
      <c r="B87" s="14" t="s">
        <v>23</v>
      </c>
      <c r="C87" s="14" t="s">
        <v>24</v>
      </c>
      <c r="D87" s="25" t="s">
        <v>88</v>
      </c>
      <c r="E87" s="11"/>
      <c r="F87" s="11"/>
      <c r="G87" s="11"/>
      <c r="H87" s="11"/>
      <c r="I87" s="11"/>
      <c r="J87" s="11"/>
      <c r="K87" s="15">
        <f>K90</f>
        <v>4.4000000000000004</v>
      </c>
      <c r="L87" s="15">
        <f>L90</f>
        <v>0</v>
      </c>
      <c r="M87" s="15">
        <f>M90</f>
        <v>0</v>
      </c>
    </row>
    <row r="88" spans="1:13" ht="45" x14ac:dyDescent="0.25">
      <c r="A88" s="11"/>
      <c r="B88" s="11"/>
      <c r="C88" s="11"/>
      <c r="D88" s="16" t="s">
        <v>413</v>
      </c>
      <c r="E88" s="11"/>
      <c r="F88" s="11"/>
      <c r="G88" s="11"/>
      <c r="H88" s="11"/>
      <c r="I88" s="11"/>
      <c r="J88" s="11"/>
      <c r="K88" s="11"/>
      <c r="L88" s="11"/>
      <c r="M88" s="11"/>
    </row>
    <row r="89" spans="1:13" x14ac:dyDescent="0.25">
      <c r="A89" s="11"/>
      <c r="B89" s="11"/>
      <c r="C89" s="11"/>
      <c r="D89" s="16"/>
      <c r="E89" s="14" t="s">
        <v>89</v>
      </c>
      <c r="F89" s="11">
        <v>1.1000000000000001</v>
      </c>
      <c r="G89" s="17">
        <v>4</v>
      </c>
      <c r="H89" s="17">
        <v>0</v>
      </c>
      <c r="I89" s="17">
        <v>0</v>
      </c>
      <c r="J89" s="15">
        <f>F89*(G89+ (G89= 0))*(H89+ (H89= 0))*(I89+ (I89= 0))</f>
        <v>4.4000000000000004</v>
      </c>
      <c r="K89" s="11"/>
      <c r="L89" s="11"/>
      <c r="M89" s="11"/>
    </row>
    <row r="90" spans="1:13" x14ac:dyDescent="0.25">
      <c r="A90" s="11"/>
      <c r="B90" s="11"/>
      <c r="C90" s="11"/>
      <c r="D90" s="16"/>
      <c r="E90" s="11"/>
      <c r="F90" s="11"/>
      <c r="G90" s="11"/>
      <c r="H90" s="11"/>
      <c r="I90" s="11"/>
      <c r="J90" s="18" t="s">
        <v>90</v>
      </c>
      <c r="K90" s="10">
        <f>SUM(J89:J89)</f>
        <v>4.4000000000000004</v>
      </c>
      <c r="L90" s="17">
        <v>0</v>
      </c>
      <c r="M90" s="10">
        <f>ROUND(L90*K90,2)</f>
        <v>0</v>
      </c>
    </row>
    <row r="91" spans="1:13" x14ac:dyDescent="0.25">
      <c r="A91" s="19"/>
      <c r="B91" s="19"/>
      <c r="C91" s="19"/>
      <c r="D91" s="26"/>
      <c r="E91" s="19"/>
      <c r="F91" s="19"/>
      <c r="G91" s="19"/>
      <c r="H91" s="19"/>
      <c r="I91" s="19"/>
      <c r="J91" s="19"/>
      <c r="K91" s="19"/>
      <c r="L91" s="19"/>
      <c r="M91" s="19"/>
    </row>
    <row r="92" spans="1:13" x14ac:dyDescent="0.25">
      <c r="A92" s="14" t="s">
        <v>91</v>
      </c>
      <c r="B92" s="14" t="s">
        <v>23</v>
      </c>
      <c r="C92" s="14" t="s">
        <v>24</v>
      </c>
      <c r="D92" s="25" t="s">
        <v>92</v>
      </c>
      <c r="E92" s="11"/>
      <c r="F92" s="11"/>
      <c r="G92" s="11"/>
      <c r="H92" s="11"/>
      <c r="I92" s="11"/>
      <c r="J92" s="11"/>
      <c r="K92" s="17">
        <v>0</v>
      </c>
      <c r="L92" s="17">
        <v>0</v>
      </c>
      <c r="M92" s="15">
        <f>ROUND(K92*L92,2)</f>
        <v>0</v>
      </c>
    </row>
    <row r="93" spans="1:13" ht="33.75" x14ac:dyDescent="0.25">
      <c r="A93" s="11"/>
      <c r="B93" s="11"/>
      <c r="C93" s="11"/>
      <c r="D93" s="16" t="s">
        <v>416</v>
      </c>
      <c r="E93" s="11"/>
      <c r="F93" s="11"/>
      <c r="G93" s="11"/>
      <c r="H93" s="11"/>
      <c r="I93" s="11"/>
      <c r="J93" s="11"/>
      <c r="K93" s="11"/>
      <c r="L93" s="11"/>
      <c r="M93" s="11"/>
    </row>
    <row r="94" spans="1:13" x14ac:dyDescent="0.25">
      <c r="A94" s="14" t="s">
        <v>93</v>
      </c>
      <c r="B94" s="14" t="s">
        <v>23</v>
      </c>
      <c r="C94" s="14" t="s">
        <v>24</v>
      </c>
      <c r="D94" s="25" t="s">
        <v>94</v>
      </c>
      <c r="E94" s="11"/>
      <c r="F94" s="11"/>
      <c r="G94" s="11"/>
      <c r="H94" s="11"/>
      <c r="I94" s="11"/>
      <c r="J94" s="11"/>
      <c r="K94" s="17">
        <v>0</v>
      </c>
      <c r="L94" s="17">
        <v>0</v>
      </c>
      <c r="M94" s="15">
        <f>ROUND(K94*L94,2)</f>
        <v>0</v>
      </c>
    </row>
    <row r="95" spans="1:13" ht="33.75" x14ac:dyDescent="0.25">
      <c r="A95" s="11"/>
      <c r="B95" s="11"/>
      <c r="C95" s="11"/>
      <c r="D95" s="16" t="s">
        <v>415</v>
      </c>
      <c r="E95" s="11"/>
      <c r="F95" s="11"/>
      <c r="G95" s="11"/>
      <c r="H95" s="11"/>
      <c r="I95" s="11"/>
      <c r="J95" s="11"/>
      <c r="K95" s="11"/>
      <c r="L95" s="11"/>
      <c r="M95" s="11"/>
    </row>
    <row r="96" spans="1:13" x14ac:dyDescent="0.25">
      <c r="A96" s="14" t="s">
        <v>95</v>
      </c>
      <c r="B96" s="14" t="s">
        <v>23</v>
      </c>
      <c r="C96" s="14" t="s">
        <v>24</v>
      </c>
      <c r="D96" s="25" t="s">
        <v>96</v>
      </c>
      <c r="E96" s="11"/>
      <c r="F96" s="11"/>
      <c r="G96" s="11"/>
      <c r="H96" s="11"/>
      <c r="I96" s="11"/>
      <c r="J96" s="11"/>
      <c r="K96" s="15">
        <f>K99</f>
        <v>6</v>
      </c>
      <c r="L96" s="15">
        <f>L99</f>
        <v>0</v>
      </c>
      <c r="M96" s="15">
        <f>M99</f>
        <v>0</v>
      </c>
    </row>
    <row r="97" spans="1:13" ht="45" x14ac:dyDescent="0.25">
      <c r="A97" s="11"/>
      <c r="B97" s="11"/>
      <c r="C97" s="11"/>
      <c r="D97" s="16" t="s">
        <v>414</v>
      </c>
      <c r="E97" s="11"/>
      <c r="F97" s="11"/>
      <c r="G97" s="11"/>
      <c r="H97" s="11"/>
      <c r="I97" s="11"/>
      <c r="J97" s="11"/>
      <c r="K97" s="11"/>
      <c r="L97" s="11"/>
      <c r="M97" s="11"/>
    </row>
    <row r="98" spans="1:13" x14ac:dyDescent="0.25">
      <c r="A98" s="11"/>
      <c r="B98" s="11"/>
      <c r="C98" s="11"/>
      <c r="D98" s="16"/>
      <c r="E98" s="14" t="s">
        <v>97</v>
      </c>
      <c r="F98" s="11">
        <v>6</v>
      </c>
      <c r="G98" s="17">
        <v>0</v>
      </c>
      <c r="H98" s="17">
        <v>0</v>
      </c>
      <c r="I98" s="17">
        <v>0</v>
      </c>
      <c r="J98" s="15">
        <f>F98*(G98+ (G98= 0))*(H98+ (H98= 0))*(I98+ (I98= 0))</f>
        <v>6</v>
      </c>
      <c r="K98" s="11"/>
      <c r="L98" s="11"/>
      <c r="M98" s="11"/>
    </row>
    <row r="99" spans="1:13" x14ac:dyDescent="0.25">
      <c r="A99" s="11"/>
      <c r="B99" s="11"/>
      <c r="C99" s="11"/>
      <c r="D99" s="16"/>
      <c r="E99" s="11"/>
      <c r="F99" s="11"/>
      <c r="G99" s="11"/>
      <c r="H99" s="11"/>
      <c r="I99" s="11"/>
      <c r="J99" s="18" t="s">
        <v>98</v>
      </c>
      <c r="K99" s="10">
        <f>SUM(J98:J98)</f>
        <v>6</v>
      </c>
      <c r="L99" s="17">
        <v>0</v>
      </c>
      <c r="M99" s="10">
        <f>ROUND(L99*K99,2)</f>
        <v>0</v>
      </c>
    </row>
    <row r="100" spans="1:13" x14ac:dyDescent="0.25">
      <c r="A100" s="19"/>
      <c r="B100" s="19"/>
      <c r="C100" s="19"/>
      <c r="D100" s="26"/>
      <c r="E100" s="19"/>
      <c r="F100" s="19"/>
      <c r="G100" s="19"/>
      <c r="H100" s="19"/>
      <c r="I100" s="19"/>
      <c r="J100" s="19"/>
      <c r="K100" s="19"/>
      <c r="L100" s="19"/>
      <c r="M100" s="19"/>
    </row>
    <row r="101" spans="1:13" x14ac:dyDescent="0.25">
      <c r="A101" s="14" t="s">
        <v>99</v>
      </c>
      <c r="B101" s="14" t="s">
        <v>23</v>
      </c>
      <c r="C101" s="14" t="s">
        <v>24</v>
      </c>
      <c r="D101" s="25" t="s">
        <v>100</v>
      </c>
      <c r="E101" s="11"/>
      <c r="F101" s="11"/>
      <c r="G101" s="11"/>
      <c r="H101" s="11"/>
      <c r="I101" s="11"/>
      <c r="J101" s="11"/>
      <c r="K101" s="17">
        <v>0</v>
      </c>
      <c r="L101" s="17">
        <v>0</v>
      </c>
      <c r="M101" s="15">
        <f>ROUND(K101*L101,2)</f>
        <v>0</v>
      </c>
    </row>
    <row r="102" spans="1:13" ht="45" x14ac:dyDescent="0.25">
      <c r="A102" s="11"/>
      <c r="B102" s="11"/>
      <c r="C102" s="11"/>
      <c r="D102" s="16" t="s">
        <v>417</v>
      </c>
      <c r="E102" s="11"/>
      <c r="F102" s="11"/>
      <c r="G102" s="11"/>
      <c r="H102" s="11"/>
      <c r="I102" s="11"/>
      <c r="J102" s="11"/>
      <c r="K102" s="11"/>
      <c r="L102" s="11"/>
      <c r="M102" s="11"/>
    </row>
    <row r="103" spans="1:13" x14ac:dyDescent="0.25">
      <c r="A103" s="14" t="s">
        <v>101</v>
      </c>
      <c r="B103" s="14" t="s">
        <v>23</v>
      </c>
      <c r="C103" s="14" t="s">
        <v>24</v>
      </c>
      <c r="D103" s="25" t="s">
        <v>102</v>
      </c>
      <c r="E103" s="11"/>
      <c r="F103" s="11"/>
      <c r="G103" s="11"/>
      <c r="H103" s="11"/>
      <c r="I103" s="11"/>
      <c r="J103" s="11"/>
      <c r="K103" s="15">
        <f>K106</f>
        <v>10</v>
      </c>
      <c r="L103" s="15">
        <f>L106</f>
        <v>0</v>
      </c>
      <c r="M103" s="15">
        <f>M106</f>
        <v>0</v>
      </c>
    </row>
    <row r="104" spans="1:13" ht="33.75" x14ac:dyDescent="0.25">
      <c r="A104" s="11"/>
      <c r="B104" s="11"/>
      <c r="C104" s="11"/>
      <c r="D104" s="16" t="s">
        <v>419</v>
      </c>
      <c r="E104" s="11"/>
      <c r="F104" s="11"/>
      <c r="G104" s="11"/>
      <c r="H104" s="11"/>
      <c r="I104" s="11"/>
      <c r="J104" s="11"/>
      <c r="K104" s="11"/>
      <c r="L104" s="11"/>
      <c r="M104" s="11"/>
    </row>
    <row r="105" spans="1:13" x14ac:dyDescent="0.25">
      <c r="A105" s="11"/>
      <c r="B105" s="11"/>
      <c r="C105" s="11"/>
      <c r="D105" s="16"/>
      <c r="E105" s="14" t="s">
        <v>103</v>
      </c>
      <c r="F105" s="11">
        <v>10</v>
      </c>
      <c r="G105" s="17">
        <v>0</v>
      </c>
      <c r="H105" s="17">
        <v>0</v>
      </c>
      <c r="I105" s="17">
        <v>0</v>
      </c>
      <c r="J105" s="15">
        <f>F105*(G105+ (G105= 0))*(H105+ (H105= 0))*(I105+ (I105= 0))</f>
        <v>10</v>
      </c>
      <c r="K105" s="11"/>
      <c r="L105" s="11"/>
      <c r="M105" s="11"/>
    </row>
    <row r="106" spans="1:13" x14ac:dyDescent="0.25">
      <c r="A106" s="11"/>
      <c r="B106" s="11"/>
      <c r="C106" s="11"/>
      <c r="D106" s="16"/>
      <c r="E106" s="11"/>
      <c r="F106" s="11"/>
      <c r="G106" s="11"/>
      <c r="H106" s="11"/>
      <c r="I106" s="11"/>
      <c r="J106" s="18" t="s">
        <v>104</v>
      </c>
      <c r="K106" s="10">
        <f>SUM(J105:J105)</f>
        <v>10</v>
      </c>
      <c r="L106" s="17">
        <v>0</v>
      </c>
      <c r="M106" s="10">
        <f>ROUND(L106*K106,2)</f>
        <v>0</v>
      </c>
    </row>
    <row r="107" spans="1:13" x14ac:dyDescent="0.25">
      <c r="A107" s="19"/>
      <c r="B107" s="19"/>
      <c r="C107" s="19"/>
      <c r="D107" s="26"/>
      <c r="E107" s="19"/>
      <c r="F107" s="19"/>
      <c r="G107" s="19"/>
      <c r="H107" s="19"/>
      <c r="I107" s="19"/>
      <c r="J107" s="19"/>
      <c r="K107" s="19"/>
      <c r="L107" s="19"/>
      <c r="M107" s="19"/>
    </row>
    <row r="108" spans="1:13" x14ac:dyDescent="0.25">
      <c r="A108" s="14" t="s">
        <v>105</v>
      </c>
      <c r="B108" s="14" t="s">
        <v>23</v>
      </c>
      <c r="C108" s="14" t="s">
        <v>24</v>
      </c>
      <c r="D108" s="25" t="s">
        <v>106</v>
      </c>
      <c r="E108" s="11"/>
      <c r="F108" s="11"/>
      <c r="G108" s="11"/>
      <c r="H108" s="11"/>
      <c r="I108" s="11"/>
      <c r="J108" s="11"/>
      <c r="K108" s="15">
        <f>K113</f>
        <v>54</v>
      </c>
      <c r="L108" s="15">
        <f>L113</f>
        <v>0</v>
      </c>
      <c r="M108" s="15">
        <f>M113</f>
        <v>0</v>
      </c>
    </row>
    <row r="109" spans="1:13" ht="33.75" x14ac:dyDescent="0.25">
      <c r="A109" s="11"/>
      <c r="B109" s="11"/>
      <c r="C109" s="11"/>
      <c r="D109" s="16" t="s">
        <v>418</v>
      </c>
      <c r="E109" s="11"/>
      <c r="F109" s="11"/>
      <c r="G109" s="11"/>
      <c r="H109" s="11"/>
      <c r="I109" s="11"/>
      <c r="J109" s="11"/>
      <c r="K109" s="11"/>
      <c r="L109" s="11"/>
      <c r="M109" s="11"/>
    </row>
    <row r="110" spans="1:13" x14ac:dyDescent="0.25">
      <c r="A110" s="11"/>
      <c r="B110" s="11"/>
      <c r="C110" s="11"/>
      <c r="D110" s="16"/>
      <c r="E110" s="14" t="s">
        <v>107</v>
      </c>
      <c r="F110" s="11">
        <v>18</v>
      </c>
      <c r="G110" s="17">
        <v>0</v>
      </c>
      <c r="H110" s="17">
        <v>0</v>
      </c>
      <c r="I110" s="17">
        <v>0</v>
      </c>
      <c r="J110" s="15">
        <f>F110*(G110+ (G110= 0))*(H110+ (H110= 0))*(I110+ (I110= 0))</f>
        <v>18</v>
      </c>
      <c r="K110" s="11"/>
      <c r="L110" s="11"/>
      <c r="M110" s="11"/>
    </row>
    <row r="111" spans="1:13" x14ac:dyDescent="0.25">
      <c r="A111" s="11"/>
      <c r="B111" s="11"/>
      <c r="C111" s="11"/>
      <c r="D111" s="16"/>
      <c r="E111" s="14" t="s">
        <v>108</v>
      </c>
      <c r="F111" s="11">
        <v>12</v>
      </c>
      <c r="G111" s="17">
        <v>0</v>
      </c>
      <c r="H111" s="17">
        <v>0</v>
      </c>
      <c r="I111" s="17">
        <v>0</v>
      </c>
      <c r="J111" s="15">
        <f>F111*(G111+ (G111= 0))*(H111+ (H111= 0))*(I111+ (I111= 0))</f>
        <v>12</v>
      </c>
      <c r="K111" s="11"/>
      <c r="L111" s="11"/>
      <c r="M111" s="11"/>
    </row>
    <row r="112" spans="1:13" x14ac:dyDescent="0.25">
      <c r="A112" s="11"/>
      <c r="B112" s="11"/>
      <c r="C112" s="11"/>
      <c r="D112" s="16"/>
      <c r="E112" s="14" t="s">
        <v>109</v>
      </c>
      <c r="F112" s="11">
        <v>2</v>
      </c>
      <c r="G112" s="17">
        <v>12</v>
      </c>
      <c r="H112" s="17">
        <v>0</v>
      </c>
      <c r="I112" s="17">
        <v>0</v>
      </c>
      <c r="J112" s="15">
        <f>F112*(G112+ (G112= 0))*(H112+ (H112= 0))*(I112+ (I112= 0))</f>
        <v>24</v>
      </c>
      <c r="K112" s="11"/>
      <c r="L112" s="11"/>
      <c r="M112" s="11"/>
    </row>
    <row r="113" spans="1:13" x14ac:dyDescent="0.25">
      <c r="A113" s="11"/>
      <c r="B113" s="11"/>
      <c r="C113" s="11"/>
      <c r="D113" s="16"/>
      <c r="E113" s="11"/>
      <c r="F113" s="11"/>
      <c r="G113" s="11"/>
      <c r="H113" s="11"/>
      <c r="I113" s="11"/>
      <c r="J113" s="18" t="s">
        <v>110</v>
      </c>
      <c r="K113" s="10">
        <f>SUM(J110:J112)</f>
        <v>54</v>
      </c>
      <c r="L113" s="17">
        <v>0</v>
      </c>
      <c r="M113" s="10">
        <f>ROUND(L113*K113,2)</f>
        <v>0</v>
      </c>
    </row>
    <row r="114" spans="1:13" x14ac:dyDescent="0.25">
      <c r="A114" s="19"/>
      <c r="B114" s="19"/>
      <c r="C114" s="19"/>
      <c r="D114" s="26"/>
      <c r="E114" s="19"/>
      <c r="F114" s="19"/>
      <c r="G114" s="19"/>
      <c r="H114" s="19"/>
      <c r="I114" s="19"/>
      <c r="J114" s="19"/>
      <c r="K114" s="19"/>
      <c r="L114" s="19"/>
      <c r="M114" s="19"/>
    </row>
    <row r="115" spans="1:13" x14ac:dyDescent="0.25">
      <c r="A115" s="14" t="s">
        <v>111</v>
      </c>
      <c r="B115" s="14" t="s">
        <v>23</v>
      </c>
      <c r="C115" s="14" t="s">
        <v>24</v>
      </c>
      <c r="D115" s="25" t="s">
        <v>112</v>
      </c>
      <c r="E115" s="11"/>
      <c r="F115" s="11"/>
      <c r="G115" s="11"/>
      <c r="H115" s="11"/>
      <c r="I115" s="11"/>
      <c r="J115" s="11"/>
      <c r="K115" s="15">
        <f>K121</f>
        <v>39</v>
      </c>
      <c r="L115" s="15">
        <f>L121</f>
        <v>0</v>
      </c>
      <c r="M115" s="15">
        <f>M121</f>
        <v>0</v>
      </c>
    </row>
    <row r="116" spans="1:13" ht="33.75" x14ac:dyDescent="0.25">
      <c r="A116" s="11"/>
      <c r="B116" s="11"/>
      <c r="C116" s="11"/>
      <c r="D116" s="16" t="s">
        <v>420</v>
      </c>
      <c r="E116" s="11"/>
      <c r="F116" s="11"/>
      <c r="G116" s="11"/>
      <c r="H116" s="11"/>
      <c r="I116" s="11"/>
      <c r="J116" s="11"/>
      <c r="K116" s="11"/>
      <c r="L116" s="11"/>
      <c r="M116" s="11"/>
    </row>
    <row r="117" spans="1:13" x14ac:dyDescent="0.25">
      <c r="A117" s="11"/>
      <c r="B117" s="11"/>
      <c r="C117" s="11"/>
      <c r="D117" s="16"/>
      <c r="E117" s="14" t="s">
        <v>113</v>
      </c>
      <c r="F117" s="11">
        <v>5</v>
      </c>
      <c r="G117" s="17">
        <v>0</v>
      </c>
      <c r="H117" s="17">
        <v>0</v>
      </c>
      <c r="I117" s="17">
        <v>0</v>
      </c>
      <c r="J117" s="15">
        <f>F117*(G117+ (G117= 0))*(H117+ (H117= 0))*(I117+ (I117= 0))</f>
        <v>5</v>
      </c>
      <c r="K117" s="11"/>
      <c r="L117" s="11"/>
      <c r="M117" s="11"/>
    </row>
    <row r="118" spans="1:13" x14ac:dyDescent="0.25">
      <c r="A118" s="11"/>
      <c r="B118" s="11"/>
      <c r="C118" s="11"/>
      <c r="D118" s="16"/>
      <c r="E118" s="14" t="s">
        <v>114</v>
      </c>
      <c r="F118" s="11">
        <v>20</v>
      </c>
      <c r="G118" s="17">
        <v>0</v>
      </c>
      <c r="H118" s="17">
        <v>0</v>
      </c>
      <c r="I118" s="17">
        <v>0</v>
      </c>
      <c r="J118" s="15">
        <f>F118*(G118+ (G118= 0))*(H118+ (H118= 0))*(I118+ (I118= 0))</f>
        <v>20</v>
      </c>
      <c r="K118" s="11"/>
      <c r="L118" s="11"/>
      <c r="M118" s="11"/>
    </row>
    <row r="119" spans="1:13" x14ac:dyDescent="0.25">
      <c r="A119" s="11"/>
      <c r="B119" s="11"/>
      <c r="C119" s="11"/>
      <c r="D119" s="16"/>
      <c r="E119" s="14" t="s">
        <v>115</v>
      </c>
      <c r="F119" s="11">
        <v>6</v>
      </c>
      <c r="G119" s="17">
        <v>0</v>
      </c>
      <c r="H119" s="17">
        <v>0</v>
      </c>
      <c r="I119" s="17">
        <v>0</v>
      </c>
      <c r="J119" s="15">
        <f>F119*(G119+ (G119= 0))*(H119+ (H119= 0))*(I119+ (I119= 0))</f>
        <v>6</v>
      </c>
      <c r="K119" s="11"/>
      <c r="L119" s="11"/>
      <c r="M119" s="11"/>
    </row>
    <row r="120" spans="1:13" x14ac:dyDescent="0.25">
      <c r="A120" s="11"/>
      <c r="B120" s="11"/>
      <c r="C120" s="11"/>
      <c r="D120" s="16"/>
      <c r="E120" s="14" t="s">
        <v>116</v>
      </c>
      <c r="F120" s="11">
        <v>2</v>
      </c>
      <c r="G120" s="17">
        <v>4</v>
      </c>
      <c r="H120" s="17">
        <v>0</v>
      </c>
      <c r="I120" s="17">
        <v>0</v>
      </c>
      <c r="J120" s="15">
        <f>F120*(G120+ (G120= 0))*(H120+ (H120= 0))*(I120+ (I120= 0))</f>
        <v>8</v>
      </c>
      <c r="K120" s="11"/>
      <c r="L120" s="11"/>
      <c r="M120" s="11"/>
    </row>
    <row r="121" spans="1:13" x14ac:dyDescent="0.25">
      <c r="A121" s="11"/>
      <c r="B121" s="11"/>
      <c r="C121" s="11"/>
      <c r="D121" s="16"/>
      <c r="E121" s="11"/>
      <c r="F121" s="11"/>
      <c r="G121" s="11"/>
      <c r="H121" s="11"/>
      <c r="I121" s="11"/>
      <c r="J121" s="18" t="s">
        <v>117</v>
      </c>
      <c r="K121" s="10">
        <f>SUM(J117:J120)</f>
        <v>39</v>
      </c>
      <c r="L121" s="17">
        <v>0</v>
      </c>
      <c r="M121" s="10">
        <f>ROUND(L121*K121,2)</f>
        <v>0</v>
      </c>
    </row>
    <row r="122" spans="1:13" x14ac:dyDescent="0.25">
      <c r="A122" s="19"/>
      <c r="B122" s="19"/>
      <c r="C122" s="19"/>
      <c r="D122" s="26"/>
      <c r="E122" s="19"/>
      <c r="F122" s="19"/>
      <c r="G122" s="19"/>
      <c r="H122" s="19"/>
      <c r="I122" s="19"/>
      <c r="J122" s="19"/>
      <c r="K122" s="19"/>
      <c r="L122" s="19"/>
      <c r="M122" s="19"/>
    </row>
    <row r="123" spans="1:13" x14ac:dyDescent="0.25">
      <c r="A123" s="14" t="s">
        <v>118</v>
      </c>
      <c r="B123" s="14" t="s">
        <v>23</v>
      </c>
      <c r="C123" s="14" t="s">
        <v>24</v>
      </c>
      <c r="D123" s="25" t="s">
        <v>119</v>
      </c>
      <c r="E123" s="11"/>
      <c r="F123" s="11"/>
      <c r="G123" s="11"/>
      <c r="H123" s="11"/>
      <c r="I123" s="11"/>
      <c r="J123" s="11"/>
      <c r="K123" s="17">
        <v>0</v>
      </c>
      <c r="L123" s="17">
        <v>0</v>
      </c>
      <c r="M123" s="15">
        <f>ROUND(K123*L123,2)</f>
        <v>0</v>
      </c>
    </row>
    <row r="124" spans="1:13" ht="45" x14ac:dyDescent="0.25">
      <c r="A124" s="11"/>
      <c r="B124" s="11"/>
      <c r="C124" s="11"/>
      <c r="D124" s="16" t="s">
        <v>421</v>
      </c>
      <c r="E124" s="11"/>
      <c r="F124" s="11"/>
      <c r="G124" s="11"/>
      <c r="H124" s="11"/>
      <c r="I124" s="11"/>
      <c r="J124" s="11"/>
      <c r="K124" s="11"/>
      <c r="L124" s="11"/>
      <c r="M124" s="11"/>
    </row>
    <row r="125" spans="1:13" x14ac:dyDescent="0.25">
      <c r="A125" s="14" t="s">
        <v>120</v>
      </c>
      <c r="B125" s="14" t="s">
        <v>23</v>
      </c>
      <c r="C125" s="14" t="s">
        <v>24</v>
      </c>
      <c r="D125" s="25" t="s">
        <v>121</v>
      </c>
      <c r="E125" s="11"/>
      <c r="F125" s="11"/>
      <c r="G125" s="11"/>
      <c r="H125" s="11"/>
      <c r="I125" s="11"/>
      <c r="J125" s="11"/>
      <c r="K125" s="15">
        <f>K128</f>
        <v>8</v>
      </c>
      <c r="L125" s="15">
        <f>L128</f>
        <v>0</v>
      </c>
      <c r="M125" s="15">
        <f>M128</f>
        <v>0</v>
      </c>
    </row>
    <row r="126" spans="1:13" ht="56.25" x14ac:dyDescent="0.25">
      <c r="A126" s="11"/>
      <c r="B126" s="11"/>
      <c r="C126" s="11"/>
      <c r="D126" s="16" t="s">
        <v>422</v>
      </c>
      <c r="E126" s="11"/>
      <c r="F126" s="11"/>
      <c r="G126" s="11"/>
      <c r="H126" s="11"/>
      <c r="I126" s="11"/>
      <c r="J126" s="11"/>
      <c r="K126" s="11"/>
      <c r="L126" s="11"/>
      <c r="M126" s="11"/>
    </row>
    <row r="127" spans="1:13" x14ac:dyDescent="0.25">
      <c r="A127" s="11"/>
      <c r="B127" s="11"/>
      <c r="C127" s="11"/>
      <c r="D127" s="16"/>
      <c r="E127" s="14" t="s">
        <v>122</v>
      </c>
      <c r="F127" s="11">
        <v>8</v>
      </c>
      <c r="G127" s="17">
        <v>0</v>
      </c>
      <c r="H127" s="17">
        <v>0</v>
      </c>
      <c r="I127" s="17">
        <v>0</v>
      </c>
      <c r="J127" s="15">
        <f>F127*(G127+ (G127= 0))*(H127+ (H127= 0))*(I127+ (I127= 0))</f>
        <v>8</v>
      </c>
      <c r="K127" s="11"/>
      <c r="L127" s="11"/>
      <c r="M127" s="11"/>
    </row>
    <row r="128" spans="1:13" x14ac:dyDescent="0.25">
      <c r="A128" s="11"/>
      <c r="B128" s="11"/>
      <c r="C128" s="11"/>
      <c r="D128" s="16"/>
      <c r="E128" s="11"/>
      <c r="F128" s="11"/>
      <c r="G128" s="11"/>
      <c r="H128" s="11"/>
      <c r="I128" s="11"/>
      <c r="J128" s="18" t="s">
        <v>123</v>
      </c>
      <c r="K128" s="10">
        <f>SUM(J127:J127)</f>
        <v>8</v>
      </c>
      <c r="L128" s="17">
        <v>0</v>
      </c>
      <c r="M128" s="10">
        <f>ROUND(L128*K128,2)</f>
        <v>0</v>
      </c>
    </row>
    <row r="129" spans="1:13" x14ac:dyDescent="0.25">
      <c r="A129" s="19"/>
      <c r="B129" s="19"/>
      <c r="C129" s="19"/>
      <c r="D129" s="26"/>
      <c r="E129" s="19"/>
      <c r="F129" s="19"/>
      <c r="G129" s="19"/>
      <c r="H129" s="19"/>
      <c r="I129" s="19"/>
      <c r="J129" s="19"/>
      <c r="K129" s="19"/>
      <c r="L129" s="19"/>
      <c r="M129" s="19"/>
    </row>
    <row r="130" spans="1:13" x14ac:dyDescent="0.25">
      <c r="A130" s="14" t="s">
        <v>124</v>
      </c>
      <c r="B130" s="14" t="s">
        <v>23</v>
      </c>
      <c r="C130" s="14" t="s">
        <v>24</v>
      </c>
      <c r="D130" s="25" t="s">
        <v>125</v>
      </c>
      <c r="E130" s="11"/>
      <c r="F130" s="11"/>
      <c r="G130" s="11"/>
      <c r="H130" s="11"/>
      <c r="I130" s="11"/>
      <c r="J130" s="11"/>
      <c r="K130" s="15">
        <f>K134</f>
        <v>32</v>
      </c>
      <c r="L130" s="15">
        <f>L134</f>
        <v>0</v>
      </c>
      <c r="M130" s="15">
        <f>M134</f>
        <v>0</v>
      </c>
    </row>
    <row r="131" spans="1:13" ht="45" x14ac:dyDescent="0.25">
      <c r="A131" s="11"/>
      <c r="B131" s="11"/>
      <c r="C131" s="11"/>
      <c r="D131" s="16" t="s">
        <v>423</v>
      </c>
      <c r="E131" s="11"/>
      <c r="F131" s="11"/>
      <c r="G131" s="11"/>
      <c r="H131" s="11"/>
      <c r="I131" s="11"/>
      <c r="J131" s="11"/>
      <c r="K131" s="11"/>
      <c r="L131" s="11"/>
      <c r="M131" s="11"/>
    </row>
    <row r="132" spans="1:13" x14ac:dyDescent="0.25">
      <c r="A132" s="11"/>
      <c r="B132" s="11"/>
      <c r="C132" s="11"/>
      <c r="D132" s="16"/>
      <c r="E132" s="14" t="s">
        <v>126</v>
      </c>
      <c r="F132" s="11">
        <v>1</v>
      </c>
      <c r="G132" s="17">
        <v>12</v>
      </c>
      <c r="H132" s="17">
        <v>0</v>
      </c>
      <c r="I132" s="17">
        <v>0</v>
      </c>
      <c r="J132" s="15">
        <f>F132*(G132+ (G132= 0))*(H132+ (H132= 0))*(I132+ (I132= 0))</f>
        <v>12</v>
      </c>
      <c r="K132" s="11"/>
      <c r="L132" s="11"/>
      <c r="M132" s="11"/>
    </row>
    <row r="133" spans="1:13" x14ac:dyDescent="0.25">
      <c r="A133" s="11"/>
      <c r="B133" s="11"/>
      <c r="C133" s="11"/>
      <c r="D133" s="16"/>
      <c r="E133" s="14" t="s">
        <v>127</v>
      </c>
      <c r="F133" s="11">
        <v>1</v>
      </c>
      <c r="G133" s="17">
        <v>20</v>
      </c>
      <c r="H133" s="17">
        <v>0</v>
      </c>
      <c r="I133" s="17">
        <v>0</v>
      </c>
      <c r="J133" s="15">
        <f>F133*(G133+ (G133= 0))*(H133+ (H133= 0))*(I133+ (I133= 0))</f>
        <v>20</v>
      </c>
      <c r="K133" s="11"/>
      <c r="L133" s="11"/>
      <c r="M133" s="11"/>
    </row>
    <row r="134" spans="1:13" x14ac:dyDescent="0.25">
      <c r="A134" s="11"/>
      <c r="B134" s="11"/>
      <c r="C134" s="11"/>
      <c r="D134" s="16"/>
      <c r="E134" s="11"/>
      <c r="F134" s="11"/>
      <c r="G134" s="11"/>
      <c r="H134" s="11"/>
      <c r="I134" s="11"/>
      <c r="J134" s="18" t="s">
        <v>128</v>
      </c>
      <c r="K134" s="10">
        <f>SUM(J132:J133)</f>
        <v>32</v>
      </c>
      <c r="L134" s="17">
        <v>0</v>
      </c>
      <c r="M134" s="10">
        <f>ROUND(L134*K134,2)</f>
        <v>0</v>
      </c>
    </row>
    <row r="135" spans="1:13" x14ac:dyDescent="0.25">
      <c r="A135" s="19"/>
      <c r="B135" s="19"/>
      <c r="C135" s="19"/>
      <c r="D135" s="26"/>
      <c r="E135" s="19"/>
      <c r="F135" s="19"/>
      <c r="G135" s="19"/>
      <c r="H135" s="19"/>
      <c r="I135" s="19"/>
      <c r="J135" s="19"/>
      <c r="K135" s="19"/>
      <c r="L135" s="19"/>
      <c r="M135" s="19"/>
    </row>
    <row r="136" spans="1:13" x14ac:dyDescent="0.25">
      <c r="A136" s="14" t="s">
        <v>129</v>
      </c>
      <c r="B136" s="14" t="s">
        <v>23</v>
      </c>
      <c r="C136" s="14" t="s">
        <v>24</v>
      </c>
      <c r="D136" s="25" t="s">
        <v>130</v>
      </c>
      <c r="E136" s="11"/>
      <c r="F136" s="11"/>
      <c r="G136" s="11"/>
      <c r="H136" s="11"/>
      <c r="I136" s="11"/>
      <c r="J136" s="11"/>
      <c r="K136" s="17">
        <v>0</v>
      </c>
      <c r="L136" s="17">
        <v>0</v>
      </c>
      <c r="M136" s="15">
        <f>ROUND(K136*L136,2)</f>
        <v>0</v>
      </c>
    </row>
    <row r="137" spans="1:13" ht="33.75" x14ac:dyDescent="0.25">
      <c r="A137" s="11"/>
      <c r="B137" s="11"/>
      <c r="C137" s="11"/>
      <c r="D137" s="16" t="s">
        <v>424</v>
      </c>
      <c r="E137" s="11"/>
      <c r="F137" s="11"/>
      <c r="G137" s="11"/>
      <c r="H137" s="11"/>
      <c r="I137" s="11"/>
      <c r="J137" s="11"/>
      <c r="K137" s="11"/>
      <c r="L137" s="11"/>
      <c r="M137" s="11"/>
    </row>
    <row r="138" spans="1:13" x14ac:dyDescent="0.25">
      <c r="A138" s="11"/>
      <c r="B138" s="11"/>
      <c r="C138" s="11"/>
      <c r="D138" s="16"/>
      <c r="E138" s="11"/>
      <c r="F138" s="11"/>
      <c r="G138" s="11"/>
      <c r="H138" s="11"/>
      <c r="I138" s="11"/>
      <c r="J138" s="18" t="s">
        <v>131</v>
      </c>
      <c r="K138" s="17">
        <v>1</v>
      </c>
      <c r="L138" s="10">
        <f>M90+M92+M94+M99+M101+M106+M113+M121+M123+M128+M134+M136</f>
        <v>0</v>
      </c>
      <c r="M138" s="10">
        <f>ROUND(L138*K138,2)</f>
        <v>0</v>
      </c>
    </row>
    <row r="139" spans="1:13" x14ac:dyDescent="0.25">
      <c r="A139" s="19"/>
      <c r="B139" s="19"/>
      <c r="C139" s="19"/>
      <c r="D139" s="26"/>
      <c r="E139" s="19"/>
      <c r="F139" s="19"/>
      <c r="G139" s="19"/>
      <c r="H139" s="19"/>
      <c r="I139" s="19"/>
      <c r="J139" s="19"/>
      <c r="K139" s="19"/>
      <c r="L139" s="19"/>
      <c r="M139" s="19"/>
    </row>
    <row r="140" spans="1:13" x14ac:dyDescent="0.25">
      <c r="A140" s="12" t="s">
        <v>132</v>
      </c>
      <c r="B140" s="12" t="s">
        <v>17</v>
      </c>
      <c r="C140" s="12" t="s">
        <v>18</v>
      </c>
      <c r="D140" s="24" t="s">
        <v>133</v>
      </c>
      <c r="E140" s="13"/>
      <c r="F140" s="13"/>
      <c r="G140" s="13"/>
      <c r="H140" s="13"/>
      <c r="I140" s="13"/>
      <c r="J140" s="13"/>
      <c r="K140" s="10">
        <f>K242</f>
        <v>1</v>
      </c>
      <c r="L140" s="10">
        <f>L242</f>
        <v>0</v>
      </c>
      <c r="M140" s="10">
        <f>M242</f>
        <v>0</v>
      </c>
    </row>
    <row r="141" spans="1:13" x14ac:dyDescent="0.25">
      <c r="A141" s="11"/>
      <c r="B141" s="11"/>
      <c r="C141" s="11"/>
      <c r="D141" s="16"/>
      <c r="E141" s="11"/>
      <c r="F141" s="11"/>
      <c r="G141" s="11"/>
      <c r="H141" s="11"/>
      <c r="I141" s="11"/>
      <c r="J141" s="11"/>
      <c r="K141" s="11"/>
      <c r="L141" s="11"/>
      <c r="M141" s="11"/>
    </row>
    <row r="142" spans="1:13" x14ac:dyDescent="0.25">
      <c r="A142" s="14" t="s">
        <v>134</v>
      </c>
      <c r="B142" s="14" t="s">
        <v>23</v>
      </c>
      <c r="C142" s="14" t="s">
        <v>24</v>
      </c>
      <c r="D142" s="25" t="s">
        <v>135</v>
      </c>
      <c r="E142" s="11"/>
      <c r="F142" s="11"/>
      <c r="G142" s="11"/>
      <c r="H142" s="11"/>
      <c r="I142" s="11"/>
      <c r="J142" s="11"/>
      <c r="K142" s="17">
        <v>0</v>
      </c>
      <c r="L142" s="17">
        <v>0</v>
      </c>
      <c r="M142" s="15">
        <f>ROUND(K142*L142,2)</f>
        <v>0</v>
      </c>
    </row>
    <row r="143" spans="1:13" ht="45" x14ac:dyDescent="0.25">
      <c r="A143" s="11"/>
      <c r="B143" s="11"/>
      <c r="C143" s="11"/>
      <c r="D143" s="16" t="s">
        <v>136</v>
      </c>
      <c r="E143" s="11"/>
      <c r="F143" s="11"/>
      <c r="G143" s="11"/>
      <c r="H143" s="11"/>
      <c r="I143" s="11"/>
      <c r="J143" s="11"/>
      <c r="K143" s="11"/>
      <c r="L143" s="11"/>
      <c r="M143" s="11"/>
    </row>
    <row r="144" spans="1:13" x14ac:dyDescent="0.25">
      <c r="A144" s="14" t="s">
        <v>137</v>
      </c>
      <c r="B144" s="14" t="s">
        <v>23</v>
      </c>
      <c r="C144" s="14" t="s">
        <v>24</v>
      </c>
      <c r="D144" s="25" t="s">
        <v>138</v>
      </c>
      <c r="E144" s="11"/>
      <c r="F144" s="11"/>
      <c r="G144" s="11"/>
      <c r="H144" s="11"/>
      <c r="I144" s="11"/>
      <c r="J144" s="11"/>
      <c r="K144" s="17">
        <v>0</v>
      </c>
      <c r="L144" s="17">
        <v>0</v>
      </c>
      <c r="M144" s="15">
        <f>ROUND(K144*L144,2)</f>
        <v>0</v>
      </c>
    </row>
    <row r="145" spans="1:13" ht="45" x14ac:dyDescent="0.25">
      <c r="A145" s="11"/>
      <c r="B145" s="11"/>
      <c r="C145" s="11"/>
      <c r="D145" s="16" t="s">
        <v>139</v>
      </c>
      <c r="E145" s="11"/>
      <c r="F145" s="11"/>
      <c r="G145" s="11"/>
      <c r="H145" s="11"/>
      <c r="I145" s="11"/>
      <c r="J145" s="11"/>
      <c r="K145" s="11"/>
      <c r="L145" s="11"/>
      <c r="M145" s="11"/>
    </row>
    <row r="146" spans="1:13" x14ac:dyDescent="0.25">
      <c r="A146" s="14" t="s">
        <v>140</v>
      </c>
      <c r="B146" s="14" t="s">
        <v>23</v>
      </c>
      <c r="C146" s="14" t="s">
        <v>24</v>
      </c>
      <c r="D146" s="25" t="s">
        <v>141</v>
      </c>
      <c r="E146" s="11"/>
      <c r="F146" s="11"/>
      <c r="G146" s="11"/>
      <c r="H146" s="11"/>
      <c r="I146" s="11"/>
      <c r="J146" s="11"/>
      <c r="K146" s="15">
        <f>K149</f>
        <v>0</v>
      </c>
      <c r="L146" s="15">
        <f>L149</f>
        <v>0</v>
      </c>
      <c r="M146" s="15">
        <f>M149</f>
        <v>0</v>
      </c>
    </row>
    <row r="147" spans="1:13" ht="33.75" x14ac:dyDescent="0.25">
      <c r="A147" s="11"/>
      <c r="B147" s="11"/>
      <c r="C147" s="11"/>
      <c r="D147" s="16" t="s">
        <v>425</v>
      </c>
      <c r="E147" s="11"/>
      <c r="F147" s="11"/>
      <c r="G147" s="11"/>
      <c r="H147" s="11"/>
      <c r="I147" s="11"/>
      <c r="J147" s="11"/>
      <c r="K147" s="11"/>
      <c r="L147" s="11"/>
      <c r="M147" s="11"/>
    </row>
    <row r="148" spans="1:13" x14ac:dyDescent="0.25">
      <c r="A148" s="11"/>
      <c r="B148" s="11"/>
      <c r="C148" s="11"/>
      <c r="D148" s="16"/>
      <c r="E148" s="14" t="s">
        <v>18</v>
      </c>
      <c r="F148" s="11">
        <v>0</v>
      </c>
      <c r="G148" s="17">
        <v>0</v>
      </c>
      <c r="H148" s="17">
        <v>0</v>
      </c>
      <c r="I148" s="17">
        <v>0</v>
      </c>
      <c r="J148" s="15">
        <f>F148*(G148+ (G148= 0))*(H148+ (H148= 0))*(I148+ (I148= 0))</f>
        <v>0</v>
      </c>
      <c r="K148" s="11"/>
      <c r="L148" s="11"/>
      <c r="M148" s="11"/>
    </row>
    <row r="149" spans="1:13" x14ac:dyDescent="0.25">
      <c r="A149" s="11"/>
      <c r="B149" s="11"/>
      <c r="C149" s="11"/>
      <c r="D149" s="16"/>
      <c r="E149" s="11"/>
      <c r="F149" s="11"/>
      <c r="G149" s="11"/>
      <c r="H149" s="11"/>
      <c r="I149" s="11"/>
      <c r="J149" s="18" t="s">
        <v>142</v>
      </c>
      <c r="K149" s="10">
        <f>SUM(J148:J148)</f>
        <v>0</v>
      </c>
      <c r="L149" s="17">
        <v>0</v>
      </c>
      <c r="M149" s="10">
        <f>ROUND(L149*K149,2)</f>
        <v>0</v>
      </c>
    </row>
    <row r="150" spans="1:13" x14ac:dyDescent="0.25">
      <c r="A150" s="19"/>
      <c r="B150" s="19"/>
      <c r="C150" s="19"/>
      <c r="D150" s="26"/>
      <c r="E150" s="19"/>
      <c r="F150" s="19"/>
      <c r="G150" s="19"/>
      <c r="H150" s="19"/>
      <c r="I150" s="19"/>
      <c r="J150" s="19"/>
      <c r="K150" s="19"/>
      <c r="L150" s="19"/>
      <c r="M150" s="19"/>
    </row>
    <row r="151" spans="1:13" x14ac:dyDescent="0.25">
      <c r="A151" s="14" t="s">
        <v>143</v>
      </c>
      <c r="B151" s="14" t="s">
        <v>23</v>
      </c>
      <c r="C151" s="14" t="s">
        <v>24</v>
      </c>
      <c r="D151" s="25" t="s">
        <v>144</v>
      </c>
      <c r="E151" s="11"/>
      <c r="F151" s="11"/>
      <c r="G151" s="11"/>
      <c r="H151" s="11"/>
      <c r="I151" s="11"/>
      <c r="J151" s="11"/>
      <c r="K151" s="15">
        <f>K154</f>
        <v>0</v>
      </c>
      <c r="L151" s="15">
        <f>L154</f>
        <v>0</v>
      </c>
      <c r="M151" s="15">
        <f>M154</f>
        <v>0</v>
      </c>
    </row>
    <row r="152" spans="1:13" ht="33.75" x14ac:dyDescent="0.25">
      <c r="A152" s="11"/>
      <c r="B152" s="11"/>
      <c r="C152" s="11"/>
      <c r="D152" s="16" t="s">
        <v>427</v>
      </c>
      <c r="E152" s="11"/>
      <c r="F152" s="11"/>
      <c r="G152" s="11"/>
      <c r="H152" s="11"/>
      <c r="I152" s="11"/>
      <c r="J152" s="11"/>
      <c r="K152" s="11"/>
      <c r="L152" s="11"/>
      <c r="M152" s="11"/>
    </row>
    <row r="153" spans="1:13" x14ac:dyDescent="0.25">
      <c r="A153" s="11"/>
      <c r="B153" s="11"/>
      <c r="C153" s="11"/>
      <c r="D153" s="16"/>
      <c r="E153" s="14" t="s">
        <v>18</v>
      </c>
      <c r="F153" s="11">
        <v>0</v>
      </c>
      <c r="G153" s="17">
        <v>0</v>
      </c>
      <c r="H153" s="17">
        <v>0</v>
      </c>
      <c r="I153" s="17">
        <v>0</v>
      </c>
      <c r="J153" s="15">
        <f>F153*(G153+ (G153= 0))*(H153+ (H153= 0))*(I153+ (I153= 0))</f>
        <v>0</v>
      </c>
      <c r="K153" s="11"/>
      <c r="L153" s="11"/>
      <c r="M153" s="11"/>
    </row>
    <row r="154" spans="1:13" x14ac:dyDescent="0.25">
      <c r="A154" s="11"/>
      <c r="B154" s="11"/>
      <c r="C154" s="11"/>
      <c r="D154" s="16"/>
      <c r="E154" s="11"/>
      <c r="F154" s="11"/>
      <c r="G154" s="11"/>
      <c r="H154" s="11"/>
      <c r="I154" s="11"/>
      <c r="J154" s="18" t="s">
        <v>145</v>
      </c>
      <c r="K154" s="10">
        <f>SUM(J153:J153)</f>
        <v>0</v>
      </c>
      <c r="L154" s="17">
        <v>0</v>
      </c>
      <c r="M154" s="10">
        <f>ROUND(L154*K154,2)</f>
        <v>0</v>
      </c>
    </row>
    <row r="155" spans="1:13" x14ac:dyDescent="0.25">
      <c r="A155" s="19"/>
      <c r="B155" s="19"/>
      <c r="C155" s="19"/>
      <c r="D155" s="26"/>
      <c r="E155" s="19"/>
      <c r="F155" s="19"/>
      <c r="G155" s="19"/>
      <c r="H155" s="19"/>
      <c r="I155" s="19"/>
      <c r="J155" s="19"/>
      <c r="K155" s="19"/>
      <c r="L155" s="19"/>
      <c r="M155" s="19"/>
    </row>
    <row r="156" spans="1:13" x14ac:dyDescent="0.25">
      <c r="A156" s="14" t="s">
        <v>146</v>
      </c>
      <c r="B156" s="14" t="s">
        <v>23</v>
      </c>
      <c r="C156" s="14" t="s">
        <v>24</v>
      </c>
      <c r="D156" s="25" t="s">
        <v>147</v>
      </c>
      <c r="E156" s="11"/>
      <c r="F156" s="11"/>
      <c r="G156" s="11"/>
      <c r="H156" s="11"/>
      <c r="I156" s="11"/>
      <c r="J156" s="11"/>
      <c r="K156" s="15">
        <f>K159</f>
        <v>4</v>
      </c>
      <c r="L156" s="15">
        <f>L159</f>
        <v>0</v>
      </c>
      <c r="M156" s="15">
        <f>M159</f>
        <v>0</v>
      </c>
    </row>
    <row r="157" spans="1:13" ht="45" x14ac:dyDescent="0.25">
      <c r="A157" s="11"/>
      <c r="B157" s="11"/>
      <c r="C157" s="11"/>
      <c r="D157" s="16" t="s">
        <v>148</v>
      </c>
      <c r="E157" s="11"/>
      <c r="F157" s="11"/>
      <c r="G157" s="11"/>
      <c r="H157" s="11"/>
      <c r="I157" s="11"/>
      <c r="J157" s="11"/>
      <c r="K157" s="11"/>
      <c r="L157" s="11"/>
      <c r="M157" s="11"/>
    </row>
    <row r="158" spans="1:13" x14ac:dyDescent="0.25">
      <c r="A158" s="11"/>
      <c r="B158" s="11"/>
      <c r="C158" s="11"/>
      <c r="D158" s="16"/>
      <c r="E158" s="14" t="s">
        <v>18</v>
      </c>
      <c r="F158" s="11">
        <v>4</v>
      </c>
      <c r="G158" s="17">
        <v>0</v>
      </c>
      <c r="H158" s="17">
        <v>0</v>
      </c>
      <c r="I158" s="17">
        <v>0</v>
      </c>
      <c r="J158" s="15">
        <f>F158*(G158+ (G158= 0))*(H158+ (H158= 0))*(I158+ (I158= 0))</f>
        <v>4</v>
      </c>
      <c r="K158" s="11"/>
      <c r="L158" s="11"/>
      <c r="M158" s="11"/>
    </row>
    <row r="159" spans="1:13" x14ac:dyDescent="0.25">
      <c r="A159" s="11"/>
      <c r="B159" s="11"/>
      <c r="C159" s="11"/>
      <c r="D159" s="16"/>
      <c r="E159" s="11"/>
      <c r="F159" s="11"/>
      <c r="G159" s="11"/>
      <c r="H159" s="11"/>
      <c r="I159" s="11"/>
      <c r="J159" s="18" t="s">
        <v>149</v>
      </c>
      <c r="K159" s="10">
        <f>SUM(J158:J158)</f>
        <v>4</v>
      </c>
      <c r="L159" s="17">
        <v>0</v>
      </c>
      <c r="M159" s="10">
        <f>ROUND(L159*K159,2)</f>
        <v>0</v>
      </c>
    </row>
    <row r="160" spans="1:13" x14ac:dyDescent="0.25">
      <c r="A160" s="19"/>
      <c r="B160" s="19"/>
      <c r="C160" s="19"/>
      <c r="D160" s="26"/>
      <c r="E160" s="19"/>
      <c r="F160" s="19"/>
      <c r="G160" s="19"/>
      <c r="H160" s="19"/>
      <c r="I160" s="19"/>
      <c r="J160" s="19"/>
      <c r="K160" s="19"/>
      <c r="L160" s="19"/>
      <c r="M160" s="19"/>
    </row>
    <row r="161" spans="1:13" x14ac:dyDescent="0.25">
      <c r="A161" s="14" t="s">
        <v>150</v>
      </c>
      <c r="B161" s="14" t="s">
        <v>23</v>
      </c>
      <c r="C161" s="14" t="s">
        <v>24</v>
      </c>
      <c r="D161" s="25" t="s">
        <v>151</v>
      </c>
      <c r="E161" s="11"/>
      <c r="F161" s="11"/>
      <c r="G161" s="11"/>
      <c r="H161" s="11"/>
      <c r="I161" s="11"/>
      <c r="J161" s="11"/>
      <c r="K161" s="15">
        <f>K164</f>
        <v>4</v>
      </c>
      <c r="L161" s="15">
        <f>L164</f>
        <v>0</v>
      </c>
      <c r="M161" s="15">
        <f>M164</f>
        <v>0</v>
      </c>
    </row>
    <row r="162" spans="1:13" ht="45" x14ac:dyDescent="0.25">
      <c r="A162" s="11"/>
      <c r="B162" s="11"/>
      <c r="C162" s="11"/>
      <c r="D162" s="16" t="s">
        <v>426</v>
      </c>
      <c r="E162" s="11"/>
      <c r="F162" s="11"/>
      <c r="G162" s="11"/>
      <c r="H162" s="11"/>
      <c r="I162" s="11"/>
      <c r="J162" s="11"/>
      <c r="K162" s="11"/>
      <c r="L162" s="11"/>
      <c r="M162" s="11"/>
    </row>
    <row r="163" spans="1:13" x14ac:dyDescent="0.25">
      <c r="A163" s="11"/>
      <c r="B163" s="11"/>
      <c r="C163" s="11"/>
      <c r="D163" s="16"/>
      <c r="E163" s="14" t="s">
        <v>18</v>
      </c>
      <c r="F163" s="11">
        <v>4</v>
      </c>
      <c r="G163" s="17">
        <v>0</v>
      </c>
      <c r="H163" s="17">
        <v>0</v>
      </c>
      <c r="I163" s="17">
        <v>0</v>
      </c>
      <c r="J163" s="15">
        <f>F163*(G163+ (G163= 0))*(H163+ (H163= 0))*(I163+ (I163= 0))</f>
        <v>4</v>
      </c>
      <c r="K163" s="11"/>
      <c r="L163" s="11"/>
      <c r="M163" s="11"/>
    </row>
    <row r="164" spans="1:13" x14ac:dyDescent="0.25">
      <c r="A164" s="11"/>
      <c r="B164" s="11"/>
      <c r="C164" s="11"/>
      <c r="D164" s="16"/>
      <c r="E164" s="11"/>
      <c r="F164" s="11"/>
      <c r="G164" s="11"/>
      <c r="H164" s="11"/>
      <c r="I164" s="11"/>
      <c r="J164" s="18" t="s">
        <v>152</v>
      </c>
      <c r="K164" s="10">
        <f>SUM(J163:J163)</f>
        <v>4</v>
      </c>
      <c r="L164" s="17">
        <v>0</v>
      </c>
      <c r="M164" s="10">
        <f>ROUND(L164*K164,2)</f>
        <v>0</v>
      </c>
    </row>
    <row r="165" spans="1:13" x14ac:dyDescent="0.25">
      <c r="A165" s="19"/>
      <c r="B165" s="19"/>
      <c r="C165" s="19"/>
      <c r="D165" s="26"/>
      <c r="E165" s="19"/>
      <c r="F165" s="19"/>
      <c r="G165" s="19"/>
      <c r="H165" s="19"/>
      <c r="I165" s="19"/>
      <c r="J165" s="19"/>
      <c r="K165" s="19"/>
      <c r="L165" s="19"/>
      <c r="M165" s="19"/>
    </row>
    <row r="166" spans="1:13" x14ac:dyDescent="0.25">
      <c r="A166" s="14" t="s">
        <v>153</v>
      </c>
      <c r="B166" s="14" t="s">
        <v>23</v>
      </c>
      <c r="C166" s="14" t="s">
        <v>24</v>
      </c>
      <c r="D166" s="25" t="s">
        <v>154</v>
      </c>
      <c r="E166" s="11"/>
      <c r="F166" s="11"/>
      <c r="G166" s="11"/>
      <c r="H166" s="11"/>
      <c r="I166" s="11"/>
      <c r="J166" s="11"/>
      <c r="K166" s="15">
        <f>K169</f>
        <v>1</v>
      </c>
      <c r="L166" s="15">
        <f>L169</f>
        <v>0</v>
      </c>
      <c r="M166" s="15">
        <f>M169</f>
        <v>0</v>
      </c>
    </row>
    <row r="167" spans="1:13" ht="45" x14ac:dyDescent="0.25">
      <c r="A167" s="11"/>
      <c r="B167" s="11"/>
      <c r="C167" s="11"/>
      <c r="D167" s="16" t="s">
        <v>155</v>
      </c>
      <c r="E167" s="11"/>
      <c r="F167" s="11"/>
      <c r="G167" s="11"/>
      <c r="H167" s="11"/>
      <c r="I167" s="11"/>
      <c r="J167" s="11"/>
      <c r="K167" s="11"/>
      <c r="L167" s="11"/>
      <c r="M167" s="11"/>
    </row>
    <row r="168" spans="1:13" x14ac:dyDescent="0.25">
      <c r="A168" s="11"/>
      <c r="B168" s="11"/>
      <c r="C168" s="11"/>
      <c r="D168" s="16"/>
      <c r="E168" s="14" t="s">
        <v>18</v>
      </c>
      <c r="F168" s="11">
        <v>1</v>
      </c>
      <c r="G168" s="17">
        <v>0</v>
      </c>
      <c r="H168" s="17">
        <v>0</v>
      </c>
      <c r="I168" s="17">
        <v>0</v>
      </c>
      <c r="J168" s="15">
        <f>F168*(G168+ (G168= 0))*(H168+ (H168= 0))*(I168+ (I168= 0))</f>
        <v>1</v>
      </c>
      <c r="K168" s="11"/>
      <c r="L168" s="11"/>
      <c r="M168" s="11"/>
    </row>
    <row r="169" spans="1:13" x14ac:dyDescent="0.25">
      <c r="A169" s="11"/>
      <c r="B169" s="11"/>
      <c r="C169" s="11"/>
      <c r="D169" s="16"/>
      <c r="E169" s="11"/>
      <c r="F169" s="11"/>
      <c r="G169" s="11"/>
      <c r="H169" s="11"/>
      <c r="I169" s="11"/>
      <c r="J169" s="18" t="s">
        <v>156</v>
      </c>
      <c r="K169" s="10">
        <f>SUM(J168:J168)</f>
        <v>1</v>
      </c>
      <c r="L169" s="17">
        <v>0</v>
      </c>
      <c r="M169" s="10">
        <f>ROUND(L169*K169,2)</f>
        <v>0</v>
      </c>
    </row>
    <row r="170" spans="1:13" x14ac:dyDescent="0.25">
      <c r="A170" s="19"/>
      <c r="B170" s="19"/>
      <c r="C170" s="19"/>
      <c r="D170" s="26"/>
      <c r="E170" s="19"/>
      <c r="F170" s="19"/>
      <c r="G170" s="19"/>
      <c r="H170" s="19"/>
      <c r="I170" s="19"/>
      <c r="J170" s="19"/>
      <c r="K170" s="19"/>
      <c r="L170" s="19"/>
      <c r="M170" s="19"/>
    </row>
    <row r="171" spans="1:13" x14ac:dyDescent="0.25">
      <c r="A171" s="14" t="s">
        <v>157</v>
      </c>
      <c r="B171" s="14" t="s">
        <v>23</v>
      </c>
      <c r="C171" s="14" t="s">
        <v>24</v>
      </c>
      <c r="D171" s="25" t="s">
        <v>158</v>
      </c>
      <c r="E171" s="11"/>
      <c r="F171" s="11"/>
      <c r="G171" s="11"/>
      <c r="H171" s="11"/>
      <c r="I171" s="11"/>
      <c r="J171" s="11"/>
      <c r="K171" s="15">
        <f>K174</f>
        <v>1</v>
      </c>
      <c r="L171" s="15">
        <f>L174</f>
        <v>0</v>
      </c>
      <c r="M171" s="15">
        <f>M174</f>
        <v>0</v>
      </c>
    </row>
    <row r="172" spans="1:13" ht="33.75" x14ac:dyDescent="0.25">
      <c r="A172" s="11"/>
      <c r="B172" s="11"/>
      <c r="C172" s="11"/>
      <c r="D172" s="16" t="s">
        <v>428</v>
      </c>
      <c r="E172" s="11"/>
      <c r="F172" s="11"/>
      <c r="G172" s="11"/>
      <c r="H172" s="11"/>
      <c r="I172" s="11"/>
      <c r="J172" s="11"/>
      <c r="K172" s="11"/>
      <c r="L172" s="11"/>
      <c r="M172" s="11"/>
    </row>
    <row r="173" spans="1:13" x14ac:dyDescent="0.25">
      <c r="A173" s="11"/>
      <c r="B173" s="11"/>
      <c r="C173" s="11"/>
      <c r="D173" s="16"/>
      <c r="E173" s="14" t="s">
        <v>18</v>
      </c>
      <c r="F173" s="11">
        <v>1</v>
      </c>
      <c r="G173" s="17">
        <v>0</v>
      </c>
      <c r="H173" s="17">
        <v>0</v>
      </c>
      <c r="I173" s="17">
        <v>0</v>
      </c>
      <c r="J173" s="15">
        <f>F173*(G173+ (G173= 0))*(H173+ (H173= 0))*(I173+ (I173= 0))</f>
        <v>1</v>
      </c>
      <c r="K173" s="11"/>
      <c r="L173" s="11"/>
      <c r="M173" s="11"/>
    </row>
    <row r="174" spans="1:13" x14ac:dyDescent="0.25">
      <c r="A174" s="11"/>
      <c r="B174" s="11"/>
      <c r="C174" s="11"/>
      <c r="D174" s="16"/>
      <c r="E174" s="11"/>
      <c r="F174" s="11"/>
      <c r="G174" s="11"/>
      <c r="H174" s="11"/>
      <c r="I174" s="11"/>
      <c r="J174" s="18" t="s">
        <v>159</v>
      </c>
      <c r="K174" s="10">
        <f>SUM(J173:J173)</f>
        <v>1</v>
      </c>
      <c r="L174" s="17">
        <v>0</v>
      </c>
      <c r="M174" s="10">
        <f>ROUND(L174*K174,2)</f>
        <v>0</v>
      </c>
    </row>
    <row r="175" spans="1:13" x14ac:dyDescent="0.25">
      <c r="A175" s="19"/>
      <c r="B175" s="19"/>
      <c r="C175" s="19"/>
      <c r="D175" s="26"/>
      <c r="E175" s="19"/>
      <c r="F175" s="19"/>
      <c r="G175" s="19"/>
      <c r="H175" s="19"/>
      <c r="I175" s="19"/>
      <c r="J175" s="19"/>
      <c r="K175" s="19"/>
      <c r="L175" s="19"/>
      <c r="M175" s="19"/>
    </row>
    <row r="176" spans="1:13" x14ac:dyDescent="0.25">
      <c r="A176" s="14" t="s">
        <v>160</v>
      </c>
      <c r="B176" s="14" t="s">
        <v>23</v>
      </c>
      <c r="C176" s="14" t="s">
        <v>24</v>
      </c>
      <c r="D176" s="25" t="s">
        <v>161</v>
      </c>
      <c r="E176" s="11"/>
      <c r="F176" s="11"/>
      <c r="G176" s="11"/>
      <c r="H176" s="11"/>
      <c r="I176" s="11"/>
      <c r="J176" s="11"/>
      <c r="K176" s="15">
        <f>K179</f>
        <v>1</v>
      </c>
      <c r="L176" s="15">
        <f>L179</f>
        <v>0</v>
      </c>
      <c r="M176" s="15">
        <f>M179</f>
        <v>0</v>
      </c>
    </row>
    <row r="177" spans="1:13" ht="45" x14ac:dyDescent="0.25">
      <c r="A177" s="11"/>
      <c r="B177" s="11"/>
      <c r="C177" s="11"/>
      <c r="D177" s="16" t="s">
        <v>162</v>
      </c>
      <c r="E177" s="11"/>
      <c r="F177" s="11"/>
      <c r="G177" s="11"/>
      <c r="H177" s="11"/>
      <c r="I177" s="11"/>
      <c r="J177" s="11"/>
      <c r="K177" s="11"/>
      <c r="L177" s="11"/>
      <c r="M177" s="11"/>
    </row>
    <row r="178" spans="1:13" x14ac:dyDescent="0.25">
      <c r="A178" s="11"/>
      <c r="B178" s="11"/>
      <c r="C178" s="11"/>
      <c r="D178" s="16"/>
      <c r="E178" s="14" t="s">
        <v>18</v>
      </c>
      <c r="F178" s="11">
        <v>1</v>
      </c>
      <c r="G178" s="17">
        <v>0</v>
      </c>
      <c r="H178" s="17">
        <v>0</v>
      </c>
      <c r="I178" s="17">
        <v>0</v>
      </c>
      <c r="J178" s="15">
        <f>F178*(G178+ (G178= 0))*(H178+ (H178= 0))*(I178+ (I178= 0))</f>
        <v>1</v>
      </c>
      <c r="K178" s="11"/>
      <c r="L178" s="11"/>
      <c r="M178" s="11"/>
    </row>
    <row r="179" spans="1:13" x14ac:dyDescent="0.25">
      <c r="A179" s="11"/>
      <c r="B179" s="11"/>
      <c r="C179" s="11"/>
      <c r="D179" s="16"/>
      <c r="E179" s="11"/>
      <c r="F179" s="11"/>
      <c r="G179" s="11"/>
      <c r="H179" s="11"/>
      <c r="I179" s="11"/>
      <c r="J179" s="18" t="s">
        <v>163</v>
      </c>
      <c r="K179" s="10">
        <f>SUM(J178:J178)</f>
        <v>1</v>
      </c>
      <c r="L179" s="17">
        <v>0</v>
      </c>
      <c r="M179" s="10">
        <f>ROUND(L179*K179,2)</f>
        <v>0</v>
      </c>
    </row>
    <row r="180" spans="1:13" x14ac:dyDescent="0.25">
      <c r="A180" s="19"/>
      <c r="B180" s="19"/>
      <c r="C180" s="19"/>
      <c r="D180" s="26"/>
      <c r="E180" s="19"/>
      <c r="F180" s="19"/>
      <c r="G180" s="19"/>
      <c r="H180" s="19"/>
      <c r="I180" s="19"/>
      <c r="J180" s="19"/>
      <c r="K180" s="19"/>
      <c r="L180" s="19"/>
      <c r="M180" s="19"/>
    </row>
    <row r="181" spans="1:13" x14ac:dyDescent="0.25">
      <c r="A181" s="14" t="s">
        <v>164</v>
      </c>
      <c r="B181" s="14" t="s">
        <v>23</v>
      </c>
      <c r="C181" s="14" t="s">
        <v>24</v>
      </c>
      <c r="D181" s="25" t="s">
        <v>165</v>
      </c>
      <c r="E181" s="11"/>
      <c r="F181" s="11"/>
      <c r="G181" s="11"/>
      <c r="H181" s="11"/>
      <c r="I181" s="11"/>
      <c r="J181" s="11"/>
      <c r="K181" s="15">
        <f>K184</f>
        <v>6</v>
      </c>
      <c r="L181" s="15">
        <f>L184</f>
        <v>0</v>
      </c>
      <c r="M181" s="15">
        <f>M184</f>
        <v>0</v>
      </c>
    </row>
    <row r="182" spans="1:13" ht="45" x14ac:dyDescent="0.25">
      <c r="A182" s="11"/>
      <c r="B182" s="11"/>
      <c r="C182" s="11"/>
      <c r="D182" s="16" t="s">
        <v>166</v>
      </c>
      <c r="E182" s="11"/>
      <c r="F182" s="11"/>
      <c r="G182" s="11"/>
      <c r="H182" s="11"/>
      <c r="I182" s="11"/>
      <c r="J182" s="11"/>
      <c r="K182" s="11"/>
      <c r="L182" s="11"/>
      <c r="M182" s="11"/>
    </row>
    <row r="183" spans="1:13" x14ac:dyDescent="0.25">
      <c r="A183" s="11"/>
      <c r="B183" s="11"/>
      <c r="C183" s="11"/>
      <c r="D183" s="16"/>
      <c r="E183" s="14" t="s">
        <v>18</v>
      </c>
      <c r="F183" s="11">
        <v>6</v>
      </c>
      <c r="G183" s="17">
        <v>0</v>
      </c>
      <c r="H183" s="17">
        <v>0</v>
      </c>
      <c r="I183" s="17">
        <v>0</v>
      </c>
      <c r="J183" s="15">
        <f>F183*(G183+ (G183= 0))*(H183+ (H183= 0))*(I183+ (I183= 0))</f>
        <v>6</v>
      </c>
      <c r="K183" s="11"/>
      <c r="L183" s="11"/>
      <c r="M183" s="11"/>
    </row>
    <row r="184" spans="1:13" x14ac:dyDescent="0.25">
      <c r="A184" s="11"/>
      <c r="B184" s="11"/>
      <c r="C184" s="11"/>
      <c r="D184" s="16"/>
      <c r="E184" s="11"/>
      <c r="F184" s="11"/>
      <c r="G184" s="11"/>
      <c r="H184" s="11"/>
      <c r="I184" s="11"/>
      <c r="J184" s="18" t="s">
        <v>167</v>
      </c>
      <c r="K184" s="10">
        <f>SUM(J183:J183)</f>
        <v>6</v>
      </c>
      <c r="L184" s="17">
        <v>0</v>
      </c>
      <c r="M184" s="10">
        <f>ROUND(L184*K184,2)</f>
        <v>0</v>
      </c>
    </row>
    <row r="185" spans="1:13" x14ac:dyDescent="0.25">
      <c r="A185" s="19"/>
      <c r="B185" s="19"/>
      <c r="C185" s="19"/>
      <c r="D185" s="26"/>
      <c r="E185" s="19"/>
      <c r="F185" s="19"/>
      <c r="G185" s="19"/>
      <c r="H185" s="19"/>
      <c r="I185" s="19"/>
      <c r="J185" s="19"/>
      <c r="K185" s="19"/>
      <c r="L185" s="19"/>
      <c r="M185" s="19"/>
    </row>
    <row r="186" spans="1:13" x14ac:dyDescent="0.25">
      <c r="A186" s="14" t="s">
        <v>168</v>
      </c>
      <c r="B186" s="14" t="s">
        <v>23</v>
      </c>
      <c r="C186" s="14" t="s">
        <v>24</v>
      </c>
      <c r="D186" s="25" t="s">
        <v>169</v>
      </c>
      <c r="E186" s="11"/>
      <c r="F186" s="11"/>
      <c r="G186" s="11"/>
      <c r="H186" s="11"/>
      <c r="I186" s="11"/>
      <c r="J186" s="11"/>
      <c r="K186" s="17">
        <v>0</v>
      </c>
      <c r="L186" s="17">
        <v>0</v>
      </c>
      <c r="M186" s="15">
        <f>ROUND(K186*L186,2)</f>
        <v>0</v>
      </c>
    </row>
    <row r="187" spans="1:13" ht="45" x14ac:dyDescent="0.25">
      <c r="A187" s="11"/>
      <c r="B187" s="11"/>
      <c r="C187" s="11"/>
      <c r="D187" s="16" t="s">
        <v>170</v>
      </c>
      <c r="E187" s="11"/>
      <c r="F187" s="11"/>
      <c r="G187" s="11"/>
      <c r="H187" s="11"/>
      <c r="I187" s="11"/>
      <c r="J187" s="11"/>
      <c r="K187" s="11"/>
      <c r="L187" s="11"/>
      <c r="M187" s="11"/>
    </row>
    <row r="188" spans="1:13" x14ac:dyDescent="0.25">
      <c r="A188" s="14" t="s">
        <v>171</v>
      </c>
      <c r="B188" s="14" t="s">
        <v>23</v>
      </c>
      <c r="C188" s="14" t="s">
        <v>24</v>
      </c>
      <c r="D188" s="25" t="s">
        <v>172</v>
      </c>
      <c r="E188" s="11"/>
      <c r="F188" s="11"/>
      <c r="G188" s="11"/>
      <c r="H188" s="11"/>
      <c r="I188" s="11"/>
      <c r="J188" s="11"/>
      <c r="K188" s="17">
        <v>0</v>
      </c>
      <c r="L188" s="17">
        <v>0</v>
      </c>
      <c r="M188" s="15">
        <f>ROUND(K188*L188,2)</f>
        <v>0</v>
      </c>
    </row>
    <row r="189" spans="1:13" ht="45" x14ac:dyDescent="0.25">
      <c r="A189" s="11"/>
      <c r="B189" s="11"/>
      <c r="C189" s="11"/>
      <c r="D189" s="16" t="s">
        <v>173</v>
      </c>
      <c r="E189" s="11"/>
      <c r="F189" s="11"/>
      <c r="G189" s="11"/>
      <c r="H189" s="11"/>
      <c r="I189" s="11"/>
      <c r="J189" s="11"/>
      <c r="K189" s="11"/>
      <c r="L189" s="11"/>
      <c r="M189" s="11"/>
    </row>
    <row r="190" spans="1:13" x14ac:dyDescent="0.25">
      <c r="A190" s="14" t="s">
        <v>174</v>
      </c>
      <c r="B190" s="14" t="s">
        <v>23</v>
      </c>
      <c r="C190" s="14" t="s">
        <v>24</v>
      </c>
      <c r="D190" s="25" t="s">
        <v>175</v>
      </c>
      <c r="E190" s="11"/>
      <c r="F190" s="11"/>
      <c r="G190" s="11"/>
      <c r="H190" s="11"/>
      <c r="I190" s="11"/>
      <c r="J190" s="11"/>
      <c r="K190" s="17">
        <v>0</v>
      </c>
      <c r="L190" s="17">
        <v>0</v>
      </c>
      <c r="M190" s="15">
        <f>ROUND(K190*L190,2)</f>
        <v>0</v>
      </c>
    </row>
    <row r="191" spans="1:13" ht="45" x14ac:dyDescent="0.25">
      <c r="A191" s="11"/>
      <c r="B191" s="11"/>
      <c r="C191" s="11"/>
      <c r="D191" s="16" t="s">
        <v>430</v>
      </c>
      <c r="E191" s="11"/>
      <c r="F191" s="11"/>
      <c r="G191" s="11"/>
      <c r="H191" s="11"/>
      <c r="I191" s="11"/>
      <c r="J191" s="11"/>
      <c r="K191" s="11"/>
      <c r="L191" s="11"/>
      <c r="M191" s="11"/>
    </row>
    <row r="192" spans="1:13" x14ac:dyDescent="0.25">
      <c r="A192" s="14" t="s">
        <v>176</v>
      </c>
      <c r="B192" s="14" t="s">
        <v>23</v>
      </c>
      <c r="C192" s="14" t="s">
        <v>24</v>
      </c>
      <c r="D192" s="25" t="s">
        <v>177</v>
      </c>
      <c r="E192" s="11"/>
      <c r="F192" s="11"/>
      <c r="G192" s="11"/>
      <c r="H192" s="11"/>
      <c r="I192" s="11"/>
      <c r="J192" s="11"/>
      <c r="K192" s="17">
        <v>0</v>
      </c>
      <c r="L192" s="17">
        <v>0</v>
      </c>
      <c r="M192" s="15">
        <f>ROUND(K192*L192,2)</f>
        <v>0</v>
      </c>
    </row>
    <row r="193" spans="1:13" ht="45" x14ac:dyDescent="0.25">
      <c r="A193" s="11"/>
      <c r="B193" s="11"/>
      <c r="C193" s="11"/>
      <c r="D193" s="16" t="s">
        <v>178</v>
      </c>
      <c r="E193" s="11"/>
      <c r="F193" s="11"/>
      <c r="G193" s="11"/>
      <c r="H193" s="11"/>
      <c r="I193" s="11"/>
      <c r="J193" s="11"/>
      <c r="K193" s="11"/>
      <c r="L193" s="11"/>
      <c r="M193" s="11"/>
    </row>
    <row r="194" spans="1:13" x14ac:dyDescent="0.25">
      <c r="A194" s="14" t="s">
        <v>179</v>
      </c>
      <c r="B194" s="14" t="s">
        <v>23</v>
      </c>
      <c r="C194" s="14" t="s">
        <v>24</v>
      </c>
      <c r="D194" s="25" t="s">
        <v>180</v>
      </c>
      <c r="E194" s="11"/>
      <c r="F194" s="11"/>
      <c r="G194" s="11"/>
      <c r="H194" s="11"/>
      <c r="I194" s="11"/>
      <c r="J194" s="11"/>
      <c r="K194" s="15">
        <f>K197</f>
        <v>1</v>
      </c>
      <c r="L194" s="15">
        <f>L197</f>
        <v>0</v>
      </c>
      <c r="M194" s="15">
        <f>M197</f>
        <v>0</v>
      </c>
    </row>
    <row r="195" spans="1:13" ht="33.75" x14ac:dyDescent="0.25">
      <c r="A195" s="11"/>
      <c r="B195" s="11"/>
      <c r="C195" s="11"/>
      <c r="D195" s="16" t="s">
        <v>429</v>
      </c>
      <c r="E195" s="11"/>
      <c r="F195" s="11"/>
      <c r="G195" s="11"/>
      <c r="H195" s="11"/>
      <c r="I195" s="11"/>
      <c r="J195" s="11"/>
      <c r="K195" s="11"/>
      <c r="L195" s="11"/>
      <c r="M195" s="11"/>
    </row>
    <row r="196" spans="1:13" x14ac:dyDescent="0.25">
      <c r="A196" s="11"/>
      <c r="B196" s="11"/>
      <c r="C196" s="11"/>
      <c r="D196" s="16"/>
      <c r="E196" s="14" t="s">
        <v>181</v>
      </c>
      <c r="F196" s="11">
        <v>1</v>
      </c>
      <c r="G196" s="17">
        <v>0</v>
      </c>
      <c r="H196" s="17">
        <v>0</v>
      </c>
      <c r="I196" s="17">
        <v>0</v>
      </c>
      <c r="J196" s="15">
        <f>F196*(G196+ (G196= 0))*(H196+ (H196= 0))*(I196+ (I196= 0))</f>
        <v>1</v>
      </c>
      <c r="K196" s="11"/>
      <c r="L196" s="11"/>
      <c r="M196" s="11"/>
    </row>
    <row r="197" spans="1:13" x14ac:dyDescent="0.25">
      <c r="A197" s="11"/>
      <c r="B197" s="11"/>
      <c r="C197" s="11"/>
      <c r="D197" s="16"/>
      <c r="E197" s="11"/>
      <c r="F197" s="11"/>
      <c r="G197" s="11"/>
      <c r="H197" s="11"/>
      <c r="I197" s="11"/>
      <c r="J197" s="18" t="s">
        <v>182</v>
      </c>
      <c r="K197" s="10">
        <f>SUM(J196:J196)</f>
        <v>1</v>
      </c>
      <c r="L197" s="17">
        <v>0</v>
      </c>
      <c r="M197" s="10">
        <f>ROUND(L197*K197,2)</f>
        <v>0</v>
      </c>
    </row>
    <row r="198" spans="1:13" x14ac:dyDescent="0.25">
      <c r="A198" s="19"/>
      <c r="B198" s="19"/>
      <c r="C198" s="19"/>
      <c r="D198" s="26"/>
      <c r="E198" s="19"/>
      <c r="F198" s="19"/>
      <c r="G198" s="19"/>
      <c r="H198" s="19"/>
      <c r="I198" s="19"/>
      <c r="J198" s="19"/>
      <c r="K198" s="19"/>
      <c r="L198" s="19"/>
      <c r="M198" s="19"/>
    </row>
    <row r="199" spans="1:13" x14ac:dyDescent="0.25">
      <c r="A199" s="14" t="s">
        <v>183</v>
      </c>
      <c r="B199" s="14" t="s">
        <v>23</v>
      </c>
      <c r="C199" s="14" t="s">
        <v>24</v>
      </c>
      <c r="D199" s="25" t="s">
        <v>184</v>
      </c>
      <c r="E199" s="11"/>
      <c r="F199" s="11"/>
      <c r="G199" s="11"/>
      <c r="H199" s="11"/>
      <c r="I199" s="11"/>
      <c r="J199" s="11"/>
      <c r="K199" s="17">
        <v>0</v>
      </c>
      <c r="L199" s="17">
        <v>0</v>
      </c>
      <c r="M199" s="15">
        <f>ROUND(K199*L199,2)</f>
        <v>0</v>
      </c>
    </row>
    <row r="200" spans="1:13" ht="33.75" x14ac:dyDescent="0.25">
      <c r="A200" s="11"/>
      <c r="B200" s="11"/>
      <c r="C200" s="11"/>
      <c r="D200" s="16" t="s">
        <v>431</v>
      </c>
      <c r="E200" s="11"/>
      <c r="F200" s="11"/>
      <c r="G200" s="11"/>
      <c r="H200" s="11"/>
      <c r="I200" s="11"/>
      <c r="J200" s="11"/>
      <c r="K200" s="11"/>
      <c r="L200" s="11"/>
      <c r="M200" s="11"/>
    </row>
    <row r="201" spans="1:13" x14ac:dyDescent="0.25">
      <c r="A201" s="14" t="s">
        <v>185</v>
      </c>
      <c r="B201" s="14" t="s">
        <v>23</v>
      </c>
      <c r="C201" s="14" t="s">
        <v>24</v>
      </c>
      <c r="D201" s="25" t="s">
        <v>186</v>
      </c>
      <c r="E201" s="11"/>
      <c r="F201" s="11"/>
      <c r="G201" s="11"/>
      <c r="H201" s="11"/>
      <c r="I201" s="11"/>
      <c r="J201" s="11"/>
      <c r="K201" s="17">
        <v>0</v>
      </c>
      <c r="L201" s="17">
        <v>0</v>
      </c>
      <c r="M201" s="15">
        <f>ROUND(K201*L201,2)</f>
        <v>0</v>
      </c>
    </row>
    <row r="202" spans="1:13" ht="45" x14ac:dyDescent="0.25">
      <c r="A202" s="11"/>
      <c r="B202" s="11"/>
      <c r="C202" s="11"/>
      <c r="D202" s="16" t="s">
        <v>187</v>
      </c>
      <c r="E202" s="11"/>
      <c r="F202" s="11"/>
      <c r="G202" s="11"/>
      <c r="H202" s="11"/>
      <c r="I202" s="11"/>
      <c r="J202" s="11"/>
      <c r="K202" s="11"/>
      <c r="L202" s="11"/>
      <c r="M202" s="11"/>
    </row>
    <row r="203" spans="1:13" x14ac:dyDescent="0.25">
      <c r="A203" s="14" t="s">
        <v>188</v>
      </c>
      <c r="B203" s="14" t="s">
        <v>23</v>
      </c>
      <c r="C203" s="14" t="s">
        <v>24</v>
      </c>
      <c r="D203" s="25" t="s">
        <v>189</v>
      </c>
      <c r="E203" s="11"/>
      <c r="F203" s="11"/>
      <c r="G203" s="11"/>
      <c r="H203" s="11"/>
      <c r="I203" s="11"/>
      <c r="J203" s="11"/>
      <c r="K203" s="15">
        <f>K206</f>
        <v>1</v>
      </c>
      <c r="L203" s="15">
        <f>L206</f>
        <v>0</v>
      </c>
      <c r="M203" s="15">
        <f>M206</f>
        <v>0</v>
      </c>
    </row>
    <row r="204" spans="1:13" ht="45" x14ac:dyDescent="0.25">
      <c r="A204" s="11"/>
      <c r="B204" s="11"/>
      <c r="C204" s="11"/>
      <c r="D204" s="16" t="s">
        <v>190</v>
      </c>
      <c r="E204" s="11"/>
      <c r="F204" s="11"/>
      <c r="G204" s="11"/>
      <c r="H204" s="11"/>
      <c r="I204" s="11"/>
      <c r="J204" s="11"/>
      <c r="K204" s="11"/>
      <c r="L204" s="11"/>
      <c r="M204" s="11"/>
    </row>
    <row r="205" spans="1:13" x14ac:dyDescent="0.25">
      <c r="A205" s="11"/>
      <c r="B205" s="11"/>
      <c r="C205" s="11"/>
      <c r="D205" s="16"/>
      <c r="E205" s="14" t="s">
        <v>191</v>
      </c>
      <c r="F205" s="11">
        <v>1</v>
      </c>
      <c r="G205" s="17">
        <v>0</v>
      </c>
      <c r="H205" s="17">
        <v>0</v>
      </c>
      <c r="I205" s="17">
        <v>0</v>
      </c>
      <c r="J205" s="15">
        <f>F205*(G205+ (G205= 0))*(H205+ (H205= 0))*(I205+ (I205= 0))</f>
        <v>1</v>
      </c>
      <c r="K205" s="11"/>
      <c r="L205" s="11"/>
      <c r="M205" s="11"/>
    </row>
    <row r="206" spans="1:13" x14ac:dyDescent="0.25">
      <c r="A206" s="11"/>
      <c r="B206" s="11"/>
      <c r="C206" s="11"/>
      <c r="D206" s="16"/>
      <c r="E206" s="11"/>
      <c r="F206" s="11"/>
      <c r="G206" s="11"/>
      <c r="H206" s="11"/>
      <c r="I206" s="11"/>
      <c r="J206" s="18" t="s">
        <v>192</v>
      </c>
      <c r="K206" s="10">
        <f>SUM(J205:J205)</f>
        <v>1</v>
      </c>
      <c r="L206" s="17">
        <v>0</v>
      </c>
      <c r="M206" s="10">
        <f>ROUND(L206*K206,2)</f>
        <v>0</v>
      </c>
    </row>
    <row r="207" spans="1:13" x14ac:dyDescent="0.25">
      <c r="A207" s="19"/>
      <c r="B207" s="19"/>
      <c r="C207" s="19"/>
      <c r="D207" s="26"/>
      <c r="E207" s="19"/>
      <c r="F207" s="19"/>
      <c r="G207" s="19"/>
      <c r="H207" s="19"/>
      <c r="I207" s="19"/>
      <c r="J207" s="19"/>
      <c r="K207" s="19"/>
      <c r="L207" s="19"/>
      <c r="M207" s="19"/>
    </row>
    <row r="208" spans="1:13" x14ac:dyDescent="0.25">
      <c r="A208" s="14" t="s">
        <v>193</v>
      </c>
      <c r="B208" s="14" t="s">
        <v>23</v>
      </c>
      <c r="C208" s="14" t="s">
        <v>24</v>
      </c>
      <c r="D208" s="25" t="s">
        <v>194</v>
      </c>
      <c r="E208" s="11"/>
      <c r="F208" s="11"/>
      <c r="G208" s="11"/>
      <c r="H208" s="11"/>
      <c r="I208" s="11"/>
      <c r="J208" s="11"/>
      <c r="K208" s="17">
        <v>0</v>
      </c>
      <c r="L208" s="17">
        <v>0</v>
      </c>
      <c r="M208" s="15">
        <f>ROUND(K208*L208,2)</f>
        <v>0</v>
      </c>
    </row>
    <row r="209" spans="1:13" ht="45" x14ac:dyDescent="0.25">
      <c r="A209" s="11"/>
      <c r="B209" s="11"/>
      <c r="C209" s="11"/>
      <c r="D209" s="16" t="s">
        <v>195</v>
      </c>
      <c r="E209" s="11"/>
      <c r="F209" s="11"/>
      <c r="G209" s="11"/>
      <c r="H209" s="11"/>
      <c r="I209" s="11"/>
      <c r="J209" s="11"/>
      <c r="K209" s="11"/>
      <c r="L209" s="11"/>
      <c r="M209" s="11"/>
    </row>
    <row r="210" spans="1:13" x14ac:dyDescent="0.25">
      <c r="A210" s="14" t="s">
        <v>196</v>
      </c>
      <c r="B210" s="14" t="s">
        <v>23</v>
      </c>
      <c r="C210" s="14" t="s">
        <v>24</v>
      </c>
      <c r="D210" s="25" t="s">
        <v>197</v>
      </c>
      <c r="E210" s="11"/>
      <c r="F210" s="11"/>
      <c r="G210" s="11"/>
      <c r="H210" s="11"/>
      <c r="I210" s="11"/>
      <c r="J210" s="11"/>
      <c r="K210" s="17">
        <v>0</v>
      </c>
      <c r="L210" s="17">
        <v>0</v>
      </c>
      <c r="M210" s="15">
        <f>ROUND(K210*L210,2)</f>
        <v>0</v>
      </c>
    </row>
    <row r="211" spans="1:13" ht="33.75" x14ac:dyDescent="0.25">
      <c r="A211" s="11"/>
      <c r="B211" s="11"/>
      <c r="C211" s="11"/>
      <c r="D211" s="16" t="s">
        <v>198</v>
      </c>
      <c r="E211" s="11"/>
      <c r="F211" s="11"/>
      <c r="G211" s="11"/>
      <c r="H211" s="11"/>
      <c r="I211" s="11"/>
      <c r="J211" s="11"/>
      <c r="K211" s="11"/>
      <c r="L211" s="11"/>
      <c r="M211" s="11"/>
    </row>
    <row r="212" spans="1:13" x14ac:dyDescent="0.25">
      <c r="A212" s="14" t="s">
        <v>199</v>
      </c>
      <c r="B212" s="14" t="s">
        <v>23</v>
      </c>
      <c r="C212" s="14" t="s">
        <v>24</v>
      </c>
      <c r="D212" s="25" t="s">
        <v>200</v>
      </c>
      <c r="E212" s="11"/>
      <c r="F212" s="11"/>
      <c r="G212" s="11"/>
      <c r="H212" s="11"/>
      <c r="I212" s="11"/>
      <c r="J212" s="11"/>
      <c r="K212" s="15">
        <f>K215</f>
        <v>1</v>
      </c>
      <c r="L212" s="15">
        <f>L215</f>
        <v>0</v>
      </c>
      <c r="M212" s="15">
        <f>M215</f>
        <v>0</v>
      </c>
    </row>
    <row r="213" spans="1:13" ht="33.75" x14ac:dyDescent="0.25">
      <c r="A213" s="11"/>
      <c r="B213" s="11"/>
      <c r="C213" s="11"/>
      <c r="D213" s="16" t="s">
        <v>201</v>
      </c>
      <c r="E213" s="11"/>
      <c r="F213" s="11"/>
      <c r="G213" s="11"/>
      <c r="H213" s="11"/>
      <c r="I213" s="11"/>
      <c r="J213" s="11"/>
      <c r="K213" s="11"/>
      <c r="L213" s="11"/>
      <c r="M213" s="11"/>
    </row>
    <row r="214" spans="1:13" x14ac:dyDescent="0.25">
      <c r="A214" s="11"/>
      <c r="B214" s="11"/>
      <c r="C214" s="11"/>
      <c r="D214" s="16"/>
      <c r="E214" s="14" t="s">
        <v>202</v>
      </c>
      <c r="F214" s="11">
        <v>1</v>
      </c>
      <c r="G214" s="17">
        <v>0</v>
      </c>
      <c r="H214" s="17">
        <v>0</v>
      </c>
      <c r="I214" s="17">
        <v>0</v>
      </c>
      <c r="J214" s="15">
        <f>F214*(G214+ (G214= 0))*(H214+ (H214= 0))*(I214+ (I214= 0))</f>
        <v>1</v>
      </c>
      <c r="K214" s="11"/>
      <c r="L214" s="11"/>
      <c r="M214" s="11"/>
    </row>
    <row r="215" spans="1:13" x14ac:dyDescent="0.25">
      <c r="A215" s="11"/>
      <c r="B215" s="11"/>
      <c r="C215" s="11"/>
      <c r="D215" s="16"/>
      <c r="E215" s="11"/>
      <c r="F215" s="11"/>
      <c r="G215" s="11"/>
      <c r="H215" s="11"/>
      <c r="I215" s="11"/>
      <c r="J215" s="18" t="s">
        <v>203</v>
      </c>
      <c r="K215" s="10">
        <f>SUM(J214:J214)</f>
        <v>1</v>
      </c>
      <c r="L215" s="17">
        <v>0</v>
      </c>
      <c r="M215" s="10">
        <f>ROUND(L215*K215,2)</f>
        <v>0</v>
      </c>
    </row>
    <row r="216" spans="1:13" x14ac:dyDescent="0.25">
      <c r="A216" s="19"/>
      <c r="B216" s="19"/>
      <c r="C216" s="19"/>
      <c r="D216" s="26"/>
      <c r="E216" s="19"/>
      <c r="F216" s="19"/>
      <c r="G216" s="19"/>
      <c r="H216" s="19"/>
      <c r="I216" s="19"/>
      <c r="J216" s="19"/>
      <c r="K216" s="19"/>
      <c r="L216" s="19"/>
      <c r="M216" s="19"/>
    </row>
    <row r="217" spans="1:13" x14ac:dyDescent="0.25">
      <c r="A217" s="14" t="s">
        <v>204</v>
      </c>
      <c r="B217" s="14" t="s">
        <v>23</v>
      </c>
      <c r="C217" s="14" t="s">
        <v>24</v>
      </c>
      <c r="D217" s="25" t="s">
        <v>205</v>
      </c>
      <c r="E217" s="11"/>
      <c r="F217" s="11"/>
      <c r="G217" s="11"/>
      <c r="H217" s="11"/>
      <c r="I217" s="11"/>
      <c r="J217" s="11"/>
      <c r="K217" s="15">
        <f>K220</f>
        <v>2</v>
      </c>
      <c r="L217" s="15">
        <f>L220</f>
        <v>0</v>
      </c>
      <c r="M217" s="15">
        <f>M220</f>
        <v>0</v>
      </c>
    </row>
    <row r="218" spans="1:13" ht="67.5" x14ac:dyDescent="0.25">
      <c r="A218" s="11"/>
      <c r="B218" s="11"/>
      <c r="C218" s="11"/>
      <c r="D218" s="16" t="s">
        <v>206</v>
      </c>
      <c r="E218" s="11"/>
      <c r="F218" s="11"/>
      <c r="G218" s="11"/>
      <c r="H218" s="11"/>
      <c r="I218" s="11"/>
      <c r="J218" s="11"/>
      <c r="K218" s="11"/>
      <c r="L218" s="11"/>
      <c r="M218" s="11"/>
    </row>
    <row r="219" spans="1:13" x14ac:dyDescent="0.25">
      <c r="A219" s="11"/>
      <c r="B219" s="11"/>
      <c r="C219" s="11"/>
      <c r="D219" s="16"/>
      <c r="E219" s="14" t="s">
        <v>18</v>
      </c>
      <c r="F219" s="11">
        <v>2</v>
      </c>
      <c r="G219" s="17">
        <v>0</v>
      </c>
      <c r="H219" s="17">
        <v>0</v>
      </c>
      <c r="I219" s="17">
        <v>0</v>
      </c>
      <c r="J219" s="15">
        <f>F219*(G219+ (G219= 0))*(H219+ (H219= 0))*(I219+ (I219= 0))</f>
        <v>2</v>
      </c>
      <c r="K219" s="11"/>
      <c r="L219" s="11"/>
      <c r="M219" s="11"/>
    </row>
    <row r="220" spans="1:13" x14ac:dyDescent="0.25">
      <c r="A220" s="11"/>
      <c r="B220" s="11"/>
      <c r="C220" s="11"/>
      <c r="D220" s="16"/>
      <c r="E220" s="11"/>
      <c r="F220" s="11"/>
      <c r="G220" s="11"/>
      <c r="H220" s="11"/>
      <c r="I220" s="11"/>
      <c r="J220" s="18" t="s">
        <v>207</v>
      </c>
      <c r="K220" s="10">
        <f>SUM(J219:J219)</f>
        <v>2</v>
      </c>
      <c r="L220" s="17">
        <v>0</v>
      </c>
      <c r="M220" s="10">
        <f>ROUND(L220*K220,2)</f>
        <v>0</v>
      </c>
    </row>
    <row r="221" spans="1:13" x14ac:dyDescent="0.25">
      <c r="A221" s="19"/>
      <c r="B221" s="19"/>
      <c r="C221" s="19"/>
      <c r="D221" s="26"/>
      <c r="E221" s="19"/>
      <c r="F221" s="19"/>
      <c r="G221" s="19"/>
      <c r="H221" s="19"/>
      <c r="I221" s="19"/>
      <c r="J221" s="19"/>
      <c r="K221" s="19"/>
      <c r="L221" s="19"/>
      <c r="M221" s="19"/>
    </row>
    <row r="222" spans="1:13" x14ac:dyDescent="0.25">
      <c r="A222" s="14" t="s">
        <v>208</v>
      </c>
      <c r="B222" s="14" t="s">
        <v>23</v>
      </c>
      <c r="C222" s="14" t="s">
        <v>24</v>
      </c>
      <c r="D222" s="25" t="s">
        <v>209</v>
      </c>
      <c r="E222" s="11"/>
      <c r="F222" s="11"/>
      <c r="G222" s="11"/>
      <c r="H222" s="11"/>
      <c r="I222" s="11"/>
      <c r="J222" s="11"/>
      <c r="K222" s="15">
        <f>K225</f>
        <v>2</v>
      </c>
      <c r="L222" s="15">
        <f>L225</f>
        <v>0</v>
      </c>
      <c r="M222" s="15">
        <f>M225</f>
        <v>0</v>
      </c>
    </row>
    <row r="223" spans="1:13" ht="56.25" x14ac:dyDescent="0.25">
      <c r="A223" s="11"/>
      <c r="B223" s="11"/>
      <c r="C223" s="11"/>
      <c r="D223" s="16" t="s">
        <v>210</v>
      </c>
      <c r="E223" s="11"/>
      <c r="F223" s="11"/>
      <c r="G223" s="11"/>
      <c r="H223" s="11"/>
      <c r="I223" s="11"/>
      <c r="J223" s="11"/>
      <c r="K223" s="11"/>
      <c r="L223" s="11"/>
      <c r="M223" s="11"/>
    </row>
    <row r="224" spans="1:13" x14ac:dyDescent="0.25">
      <c r="A224" s="11"/>
      <c r="B224" s="11"/>
      <c r="C224" s="11"/>
      <c r="D224" s="16"/>
      <c r="E224" s="14" t="s">
        <v>211</v>
      </c>
      <c r="F224" s="11">
        <v>2</v>
      </c>
      <c r="G224" s="17">
        <v>0</v>
      </c>
      <c r="H224" s="17">
        <v>0</v>
      </c>
      <c r="I224" s="17">
        <v>0</v>
      </c>
      <c r="J224" s="15">
        <f>F224*(G224+ (G224= 0))*(H224+ (H224= 0))*(I224+ (I224= 0))</f>
        <v>2</v>
      </c>
      <c r="K224" s="11"/>
      <c r="L224" s="11"/>
      <c r="M224" s="11"/>
    </row>
    <row r="225" spans="1:13" x14ac:dyDescent="0.25">
      <c r="A225" s="11"/>
      <c r="B225" s="11"/>
      <c r="C225" s="11"/>
      <c r="D225" s="16"/>
      <c r="E225" s="11"/>
      <c r="F225" s="11"/>
      <c r="G225" s="11"/>
      <c r="H225" s="11"/>
      <c r="I225" s="11"/>
      <c r="J225" s="18" t="s">
        <v>212</v>
      </c>
      <c r="K225" s="10">
        <f>SUM(J224:J224)</f>
        <v>2</v>
      </c>
      <c r="L225" s="17">
        <v>0</v>
      </c>
      <c r="M225" s="10">
        <f>ROUND(L225*K225,2)</f>
        <v>0</v>
      </c>
    </row>
    <row r="226" spans="1:13" x14ac:dyDescent="0.25">
      <c r="A226" s="19"/>
      <c r="B226" s="19"/>
      <c r="C226" s="19"/>
      <c r="D226" s="26"/>
      <c r="E226" s="19"/>
      <c r="F226" s="19"/>
      <c r="G226" s="19"/>
      <c r="H226" s="19"/>
      <c r="I226" s="19"/>
      <c r="J226" s="19"/>
      <c r="K226" s="19"/>
      <c r="L226" s="19"/>
      <c r="M226" s="19"/>
    </row>
    <row r="227" spans="1:13" x14ac:dyDescent="0.25">
      <c r="A227" s="14" t="s">
        <v>213</v>
      </c>
      <c r="B227" s="14" t="s">
        <v>23</v>
      </c>
      <c r="C227" s="14" t="s">
        <v>24</v>
      </c>
      <c r="D227" s="25" t="s">
        <v>214</v>
      </c>
      <c r="E227" s="11"/>
      <c r="F227" s="11"/>
      <c r="G227" s="11"/>
      <c r="H227" s="11"/>
      <c r="I227" s="11"/>
      <c r="J227" s="11"/>
      <c r="K227" s="15">
        <f>K230</f>
        <v>2</v>
      </c>
      <c r="L227" s="15">
        <f>L230</f>
        <v>0</v>
      </c>
      <c r="M227" s="15">
        <f>M230</f>
        <v>0</v>
      </c>
    </row>
    <row r="228" spans="1:13" ht="67.5" x14ac:dyDescent="0.25">
      <c r="A228" s="11"/>
      <c r="B228" s="11"/>
      <c r="C228" s="11"/>
      <c r="D228" s="16" t="s">
        <v>215</v>
      </c>
      <c r="E228" s="11"/>
      <c r="F228" s="11"/>
      <c r="G228" s="11"/>
      <c r="H228" s="11"/>
      <c r="I228" s="11"/>
      <c r="J228" s="11"/>
      <c r="K228" s="11"/>
      <c r="L228" s="11"/>
      <c r="M228" s="11"/>
    </row>
    <row r="229" spans="1:13" x14ac:dyDescent="0.25">
      <c r="A229" s="11"/>
      <c r="B229" s="11"/>
      <c r="C229" s="11"/>
      <c r="D229" s="16"/>
      <c r="E229" s="14" t="s">
        <v>211</v>
      </c>
      <c r="F229" s="11">
        <v>2</v>
      </c>
      <c r="G229" s="17">
        <v>0</v>
      </c>
      <c r="H229" s="17">
        <v>0</v>
      </c>
      <c r="I229" s="17">
        <v>0</v>
      </c>
      <c r="J229" s="15">
        <f>F229*(G229+ (G229= 0))*(H229+ (H229= 0))*(I229+ (I229= 0))</f>
        <v>2</v>
      </c>
      <c r="K229" s="11"/>
      <c r="L229" s="11"/>
      <c r="M229" s="11"/>
    </row>
    <row r="230" spans="1:13" x14ac:dyDescent="0.25">
      <c r="A230" s="11"/>
      <c r="B230" s="11"/>
      <c r="C230" s="11"/>
      <c r="D230" s="16"/>
      <c r="E230" s="11"/>
      <c r="F230" s="11"/>
      <c r="G230" s="11"/>
      <c r="H230" s="11"/>
      <c r="I230" s="11"/>
      <c r="J230" s="18" t="s">
        <v>216</v>
      </c>
      <c r="K230" s="10">
        <f>SUM(J229:J229)</f>
        <v>2</v>
      </c>
      <c r="L230" s="17">
        <v>0</v>
      </c>
      <c r="M230" s="10">
        <f>ROUND(L230*K230,2)</f>
        <v>0</v>
      </c>
    </row>
    <row r="231" spans="1:13" x14ac:dyDescent="0.25">
      <c r="A231" s="19"/>
      <c r="B231" s="19"/>
      <c r="C231" s="19"/>
      <c r="D231" s="26"/>
      <c r="E231" s="19"/>
      <c r="F231" s="19"/>
      <c r="G231" s="19"/>
      <c r="H231" s="19"/>
      <c r="I231" s="19"/>
      <c r="J231" s="19"/>
      <c r="K231" s="19"/>
      <c r="L231" s="19"/>
      <c r="M231" s="19"/>
    </row>
    <row r="232" spans="1:13" x14ac:dyDescent="0.25">
      <c r="A232" s="14" t="s">
        <v>217</v>
      </c>
      <c r="B232" s="14" t="s">
        <v>23</v>
      </c>
      <c r="C232" s="14" t="s">
        <v>24</v>
      </c>
      <c r="D232" s="25" t="s">
        <v>218</v>
      </c>
      <c r="E232" s="11"/>
      <c r="F232" s="11"/>
      <c r="G232" s="11"/>
      <c r="H232" s="11"/>
      <c r="I232" s="11"/>
      <c r="J232" s="11"/>
      <c r="K232" s="15">
        <f>K235</f>
        <v>2</v>
      </c>
      <c r="L232" s="15">
        <f>L235</f>
        <v>0</v>
      </c>
      <c r="M232" s="15">
        <f>M235</f>
        <v>0</v>
      </c>
    </row>
    <row r="233" spans="1:13" ht="56.25" x14ac:dyDescent="0.25">
      <c r="A233" s="11"/>
      <c r="B233" s="11"/>
      <c r="C233" s="11"/>
      <c r="D233" s="16" t="s">
        <v>219</v>
      </c>
      <c r="E233" s="11"/>
      <c r="F233" s="11"/>
      <c r="G233" s="11"/>
      <c r="H233" s="11"/>
      <c r="I233" s="11"/>
      <c r="J233" s="11"/>
      <c r="K233" s="11"/>
      <c r="L233" s="11"/>
      <c r="M233" s="11"/>
    </row>
    <row r="234" spans="1:13" x14ac:dyDescent="0.25">
      <c r="A234" s="11"/>
      <c r="B234" s="11"/>
      <c r="C234" s="11"/>
      <c r="D234" s="16"/>
      <c r="E234" s="14" t="s">
        <v>18</v>
      </c>
      <c r="F234" s="11">
        <v>2</v>
      </c>
      <c r="G234" s="17">
        <v>0</v>
      </c>
      <c r="H234" s="17">
        <v>0</v>
      </c>
      <c r="I234" s="17">
        <v>0</v>
      </c>
      <c r="J234" s="15">
        <f>F234*(G234+ (G234= 0))*(H234+ (H234= 0))*(I234+ (I234= 0))</f>
        <v>2</v>
      </c>
      <c r="K234" s="11"/>
      <c r="L234" s="11"/>
      <c r="M234" s="11"/>
    </row>
    <row r="235" spans="1:13" x14ac:dyDescent="0.25">
      <c r="A235" s="11"/>
      <c r="B235" s="11"/>
      <c r="C235" s="11"/>
      <c r="D235" s="16"/>
      <c r="E235" s="11"/>
      <c r="F235" s="11"/>
      <c r="G235" s="11"/>
      <c r="H235" s="11"/>
      <c r="I235" s="11"/>
      <c r="J235" s="18" t="s">
        <v>220</v>
      </c>
      <c r="K235" s="10">
        <f>SUM(J234:J234)</f>
        <v>2</v>
      </c>
      <c r="L235" s="17">
        <v>0</v>
      </c>
      <c r="M235" s="10">
        <f>ROUND(L235*K235,2)</f>
        <v>0</v>
      </c>
    </row>
    <row r="236" spans="1:13" x14ac:dyDescent="0.25">
      <c r="A236" s="19"/>
      <c r="B236" s="19"/>
      <c r="C236" s="19"/>
      <c r="D236" s="26"/>
      <c r="E236" s="19"/>
      <c r="F236" s="19"/>
      <c r="G236" s="19"/>
      <c r="H236" s="19"/>
      <c r="I236" s="19"/>
      <c r="J236" s="19"/>
      <c r="K236" s="19"/>
      <c r="L236" s="19"/>
      <c r="M236" s="19"/>
    </row>
    <row r="237" spans="1:13" x14ac:dyDescent="0.25">
      <c r="A237" s="14" t="s">
        <v>221</v>
      </c>
      <c r="B237" s="14" t="s">
        <v>23</v>
      </c>
      <c r="C237" s="14" t="s">
        <v>24</v>
      </c>
      <c r="D237" s="25" t="s">
        <v>222</v>
      </c>
      <c r="E237" s="11"/>
      <c r="F237" s="11"/>
      <c r="G237" s="11"/>
      <c r="H237" s="11"/>
      <c r="I237" s="11"/>
      <c r="J237" s="11"/>
      <c r="K237" s="15">
        <f>K240</f>
        <v>2</v>
      </c>
      <c r="L237" s="15">
        <f>L240</f>
        <v>0</v>
      </c>
      <c r="M237" s="15">
        <f>M240</f>
        <v>0</v>
      </c>
    </row>
    <row r="238" spans="1:13" ht="45" x14ac:dyDescent="0.25">
      <c r="A238" s="11"/>
      <c r="B238" s="11"/>
      <c r="C238" s="11"/>
      <c r="D238" s="16" t="s">
        <v>223</v>
      </c>
      <c r="E238" s="11"/>
      <c r="F238" s="11"/>
      <c r="G238" s="11"/>
      <c r="H238" s="11"/>
      <c r="I238" s="11"/>
      <c r="J238" s="11"/>
      <c r="K238" s="11"/>
      <c r="L238" s="11"/>
      <c r="M238" s="11"/>
    </row>
    <row r="239" spans="1:13" x14ac:dyDescent="0.25">
      <c r="A239" s="11"/>
      <c r="B239" s="11"/>
      <c r="C239" s="11"/>
      <c r="D239" s="16"/>
      <c r="E239" s="14" t="s">
        <v>18</v>
      </c>
      <c r="F239" s="11">
        <v>2</v>
      </c>
      <c r="G239" s="17">
        <v>0</v>
      </c>
      <c r="H239" s="17">
        <v>0</v>
      </c>
      <c r="I239" s="17">
        <v>0</v>
      </c>
      <c r="J239" s="15">
        <f>F239*(G239+ (G239= 0))*(H239+ (H239= 0))*(I239+ (I239= 0))</f>
        <v>2</v>
      </c>
      <c r="K239" s="11"/>
      <c r="L239" s="11"/>
      <c r="M239" s="11"/>
    </row>
    <row r="240" spans="1:13" x14ac:dyDescent="0.25">
      <c r="A240" s="11"/>
      <c r="B240" s="11"/>
      <c r="C240" s="11"/>
      <c r="D240" s="16"/>
      <c r="E240" s="11"/>
      <c r="F240" s="11"/>
      <c r="G240" s="11"/>
      <c r="H240" s="11"/>
      <c r="I240" s="11"/>
      <c r="J240" s="18" t="s">
        <v>224</v>
      </c>
      <c r="K240" s="10">
        <f>SUM(J239:J239)</f>
        <v>2</v>
      </c>
      <c r="L240" s="17">
        <v>0</v>
      </c>
      <c r="M240" s="10">
        <f>ROUND(L240*K240,2)</f>
        <v>0</v>
      </c>
    </row>
    <row r="241" spans="1:13" x14ac:dyDescent="0.25">
      <c r="A241" s="19"/>
      <c r="B241" s="19"/>
      <c r="C241" s="19"/>
      <c r="D241" s="26"/>
      <c r="E241" s="19"/>
      <c r="F241" s="19"/>
      <c r="G241" s="19"/>
      <c r="H241" s="19"/>
      <c r="I241" s="19"/>
      <c r="J241" s="19"/>
      <c r="K241" s="19"/>
      <c r="L241" s="19"/>
      <c r="M241" s="19"/>
    </row>
    <row r="242" spans="1:13" x14ac:dyDescent="0.25">
      <c r="A242" s="11"/>
      <c r="B242" s="11"/>
      <c r="C242" s="11"/>
      <c r="D242" s="16"/>
      <c r="E242" s="11"/>
      <c r="F242" s="11"/>
      <c r="G242" s="11"/>
      <c r="H242" s="11"/>
      <c r="I242" s="11"/>
      <c r="J242" s="18" t="s">
        <v>225</v>
      </c>
      <c r="K242" s="17">
        <v>1</v>
      </c>
      <c r="L242" s="10">
        <f>M142+M144+M149+M154+M159+M164+M169+M174+M179+M184+M186+M188+M190+M192+M197+M199+M201+M206+M208+M210+M215+M220+M225+M230+M235+M240</f>
        <v>0</v>
      </c>
      <c r="M242" s="10">
        <f>ROUND(L242*K242,2)</f>
        <v>0</v>
      </c>
    </row>
    <row r="243" spans="1:13" x14ac:dyDescent="0.25">
      <c r="A243" s="19"/>
      <c r="B243" s="19"/>
      <c r="C243" s="19"/>
      <c r="D243" s="26"/>
      <c r="E243" s="19"/>
      <c r="F243" s="19"/>
      <c r="G243" s="19"/>
      <c r="H243" s="19"/>
      <c r="I243" s="19"/>
      <c r="J243" s="19"/>
      <c r="K243" s="19"/>
      <c r="L243" s="19"/>
      <c r="M243" s="19"/>
    </row>
    <row r="244" spans="1:13" x14ac:dyDescent="0.25">
      <c r="A244" s="12" t="s">
        <v>226</v>
      </c>
      <c r="B244" s="12" t="s">
        <v>17</v>
      </c>
      <c r="C244" s="12" t="s">
        <v>18</v>
      </c>
      <c r="D244" s="24" t="s">
        <v>227</v>
      </c>
      <c r="E244" s="13"/>
      <c r="F244" s="13"/>
      <c r="G244" s="13"/>
      <c r="H244" s="13"/>
      <c r="I244" s="13"/>
      <c r="J244" s="13"/>
      <c r="K244" s="10">
        <f>K271</f>
        <v>1</v>
      </c>
      <c r="L244" s="10">
        <f>L271</f>
        <v>0</v>
      </c>
      <c r="M244" s="10">
        <f>M271</f>
        <v>0</v>
      </c>
    </row>
    <row r="245" spans="1:13" x14ac:dyDescent="0.25">
      <c r="A245" s="11"/>
      <c r="B245" s="11"/>
      <c r="C245" s="11"/>
      <c r="D245" s="16"/>
      <c r="E245" s="11"/>
      <c r="F245" s="11"/>
      <c r="G245" s="11"/>
      <c r="H245" s="11"/>
      <c r="I245" s="11"/>
      <c r="J245" s="11"/>
      <c r="K245" s="11"/>
      <c r="L245" s="11"/>
      <c r="M245" s="11"/>
    </row>
    <row r="246" spans="1:13" x14ac:dyDescent="0.25">
      <c r="A246" s="14" t="s">
        <v>228</v>
      </c>
      <c r="B246" s="14" t="s">
        <v>23</v>
      </c>
      <c r="C246" s="14" t="s">
        <v>24</v>
      </c>
      <c r="D246" s="25" t="s">
        <v>229</v>
      </c>
      <c r="E246" s="11"/>
      <c r="F246" s="11"/>
      <c r="G246" s="11"/>
      <c r="H246" s="11"/>
      <c r="I246" s="11"/>
      <c r="J246" s="11"/>
      <c r="K246" s="15">
        <f>K249</f>
        <v>1</v>
      </c>
      <c r="L246" s="15">
        <f>L249</f>
        <v>0</v>
      </c>
      <c r="M246" s="15">
        <f>M249</f>
        <v>0</v>
      </c>
    </row>
    <row r="247" spans="1:13" ht="213.75" x14ac:dyDescent="0.25">
      <c r="A247" s="11"/>
      <c r="B247" s="11"/>
      <c r="C247" s="11"/>
      <c r="D247" s="16" t="s">
        <v>230</v>
      </c>
      <c r="E247" s="11"/>
      <c r="F247" s="11"/>
      <c r="G247" s="11"/>
      <c r="H247" s="11"/>
      <c r="I247" s="11"/>
      <c r="J247" s="11"/>
      <c r="K247" s="11"/>
      <c r="L247" s="11"/>
      <c r="M247" s="11"/>
    </row>
    <row r="248" spans="1:13" x14ac:dyDescent="0.25">
      <c r="A248" s="11"/>
      <c r="B248" s="11"/>
      <c r="C248" s="11"/>
      <c r="D248" s="16"/>
      <c r="E248" s="14" t="s">
        <v>18</v>
      </c>
      <c r="F248" s="11">
        <v>1</v>
      </c>
      <c r="G248" s="17">
        <v>0</v>
      </c>
      <c r="H248" s="17">
        <v>0</v>
      </c>
      <c r="I248" s="17">
        <v>0</v>
      </c>
      <c r="J248" s="15">
        <f>F248*(G248+ (G248= 0))*(H248+ (H248= 0))*(I248+ (I248= 0))</f>
        <v>1</v>
      </c>
      <c r="K248" s="11"/>
      <c r="L248" s="11"/>
      <c r="M248" s="11"/>
    </row>
    <row r="249" spans="1:13" x14ac:dyDescent="0.25">
      <c r="A249" s="11"/>
      <c r="B249" s="11"/>
      <c r="C249" s="11"/>
      <c r="D249" s="16"/>
      <c r="E249" s="11"/>
      <c r="F249" s="11"/>
      <c r="G249" s="11"/>
      <c r="H249" s="11"/>
      <c r="I249" s="11"/>
      <c r="J249" s="18" t="s">
        <v>231</v>
      </c>
      <c r="K249" s="10">
        <f>SUM(J248:J248)</f>
        <v>1</v>
      </c>
      <c r="L249" s="17">
        <v>0</v>
      </c>
      <c r="M249" s="10">
        <f>ROUND(L249*K249,2)</f>
        <v>0</v>
      </c>
    </row>
    <row r="250" spans="1:13" x14ac:dyDescent="0.25">
      <c r="A250" s="19"/>
      <c r="B250" s="19"/>
      <c r="C250" s="19"/>
      <c r="D250" s="26"/>
      <c r="E250" s="19"/>
      <c r="F250" s="19"/>
      <c r="G250" s="19"/>
      <c r="H250" s="19"/>
      <c r="I250" s="19"/>
      <c r="J250" s="19"/>
      <c r="K250" s="19"/>
      <c r="L250" s="19"/>
      <c r="M250" s="19"/>
    </row>
    <row r="251" spans="1:13" x14ac:dyDescent="0.25">
      <c r="A251" s="14" t="s">
        <v>232</v>
      </c>
      <c r="B251" s="14" t="s">
        <v>23</v>
      </c>
      <c r="C251" s="14" t="s">
        <v>24</v>
      </c>
      <c r="D251" s="25" t="s">
        <v>233</v>
      </c>
      <c r="E251" s="11"/>
      <c r="F251" s="11"/>
      <c r="G251" s="11"/>
      <c r="H251" s="11"/>
      <c r="I251" s="11"/>
      <c r="J251" s="11"/>
      <c r="K251" s="15">
        <f>K254</f>
        <v>1</v>
      </c>
      <c r="L251" s="15">
        <f>L254</f>
        <v>0</v>
      </c>
      <c r="M251" s="15">
        <f>M254</f>
        <v>0</v>
      </c>
    </row>
    <row r="252" spans="1:13" ht="101.25" x14ac:dyDescent="0.25">
      <c r="A252" s="11"/>
      <c r="B252" s="11"/>
      <c r="C252" s="11"/>
      <c r="D252" s="16" t="s">
        <v>234</v>
      </c>
      <c r="E252" s="11"/>
      <c r="F252" s="11"/>
      <c r="G252" s="11"/>
      <c r="H252" s="11"/>
      <c r="I252" s="11"/>
      <c r="J252" s="11"/>
      <c r="K252" s="11"/>
      <c r="L252" s="11"/>
      <c r="M252" s="11"/>
    </row>
    <row r="253" spans="1:13" x14ac:dyDescent="0.25">
      <c r="A253" s="11"/>
      <c r="B253" s="11"/>
      <c r="C253" s="11"/>
      <c r="D253" s="16"/>
      <c r="E253" s="14" t="s">
        <v>235</v>
      </c>
      <c r="F253" s="11">
        <v>1</v>
      </c>
      <c r="G253" s="17">
        <v>0</v>
      </c>
      <c r="H253" s="17">
        <v>0</v>
      </c>
      <c r="I253" s="17">
        <v>0</v>
      </c>
      <c r="J253" s="15">
        <f>F253*(G253+ (G253= 0))*(H253+ (H253= 0))*(I253+ (I253= 0))</f>
        <v>1</v>
      </c>
      <c r="K253" s="11"/>
      <c r="L253" s="11"/>
      <c r="M253" s="11"/>
    </row>
    <row r="254" spans="1:13" x14ac:dyDescent="0.25">
      <c r="A254" s="11"/>
      <c r="B254" s="11"/>
      <c r="C254" s="11"/>
      <c r="D254" s="16"/>
      <c r="E254" s="11"/>
      <c r="F254" s="11"/>
      <c r="G254" s="11"/>
      <c r="H254" s="11"/>
      <c r="I254" s="11"/>
      <c r="J254" s="18" t="s">
        <v>236</v>
      </c>
      <c r="K254" s="10">
        <f>SUM(J253:J253)</f>
        <v>1</v>
      </c>
      <c r="L254" s="17">
        <v>0</v>
      </c>
      <c r="M254" s="10">
        <f>ROUND(L254*K254,2)</f>
        <v>0</v>
      </c>
    </row>
    <row r="255" spans="1:13" x14ac:dyDescent="0.25">
      <c r="A255" s="19"/>
      <c r="B255" s="19"/>
      <c r="C255" s="19"/>
      <c r="D255" s="26"/>
      <c r="E255" s="19"/>
      <c r="F255" s="19"/>
      <c r="G255" s="19"/>
      <c r="H255" s="19"/>
      <c r="I255" s="19"/>
      <c r="J255" s="19"/>
      <c r="K255" s="19"/>
      <c r="L255" s="19"/>
      <c r="M255" s="19"/>
    </row>
    <row r="256" spans="1:13" x14ac:dyDescent="0.25">
      <c r="A256" s="14" t="s">
        <v>237</v>
      </c>
      <c r="B256" s="14" t="s">
        <v>23</v>
      </c>
      <c r="C256" s="14" t="s">
        <v>24</v>
      </c>
      <c r="D256" s="25" t="s">
        <v>238</v>
      </c>
      <c r="E256" s="11"/>
      <c r="F256" s="11"/>
      <c r="G256" s="11"/>
      <c r="H256" s="11"/>
      <c r="I256" s="11"/>
      <c r="J256" s="11"/>
      <c r="K256" s="15">
        <f>K259</f>
        <v>1</v>
      </c>
      <c r="L256" s="15">
        <f>L259</f>
        <v>0</v>
      </c>
      <c r="M256" s="15">
        <f>M259</f>
        <v>0</v>
      </c>
    </row>
    <row r="257" spans="1:13" ht="112.5" x14ac:dyDescent="0.25">
      <c r="A257" s="11"/>
      <c r="B257" s="11"/>
      <c r="C257" s="11"/>
      <c r="D257" s="16" t="s">
        <v>239</v>
      </c>
      <c r="E257" s="11"/>
      <c r="F257" s="11"/>
      <c r="G257" s="11"/>
      <c r="H257" s="11"/>
      <c r="I257" s="11"/>
      <c r="J257" s="11"/>
      <c r="K257" s="11"/>
      <c r="L257" s="11"/>
      <c r="M257" s="11"/>
    </row>
    <row r="258" spans="1:13" x14ac:dyDescent="0.25">
      <c r="A258" s="11"/>
      <c r="B258" s="11"/>
      <c r="C258" s="11"/>
      <c r="D258" s="16"/>
      <c r="E258" s="14" t="s">
        <v>240</v>
      </c>
      <c r="F258" s="11">
        <v>1</v>
      </c>
      <c r="G258" s="17">
        <v>0</v>
      </c>
      <c r="H258" s="17">
        <v>0</v>
      </c>
      <c r="I258" s="17">
        <v>0</v>
      </c>
      <c r="J258" s="15">
        <f>F258*(G258+ (G258= 0))*(H258+ (H258= 0))*(I258+ (I258= 0))</f>
        <v>1</v>
      </c>
      <c r="K258" s="11"/>
      <c r="L258" s="11"/>
      <c r="M258" s="11"/>
    </row>
    <row r="259" spans="1:13" x14ac:dyDescent="0.25">
      <c r="A259" s="11"/>
      <c r="B259" s="11"/>
      <c r="C259" s="11"/>
      <c r="D259" s="16"/>
      <c r="E259" s="11"/>
      <c r="F259" s="11"/>
      <c r="G259" s="11"/>
      <c r="H259" s="11"/>
      <c r="I259" s="11"/>
      <c r="J259" s="18" t="s">
        <v>241</v>
      </c>
      <c r="K259" s="10">
        <f>SUM(J258:J258)</f>
        <v>1</v>
      </c>
      <c r="L259" s="17">
        <v>0</v>
      </c>
      <c r="M259" s="10">
        <f>ROUND(L259*K259,2)</f>
        <v>0</v>
      </c>
    </row>
    <row r="260" spans="1:13" x14ac:dyDescent="0.25">
      <c r="A260" s="19"/>
      <c r="B260" s="19"/>
      <c r="C260" s="19"/>
      <c r="D260" s="26"/>
      <c r="E260" s="19"/>
      <c r="F260" s="19"/>
      <c r="G260" s="19"/>
      <c r="H260" s="19"/>
      <c r="I260" s="19"/>
      <c r="J260" s="19"/>
      <c r="K260" s="19"/>
      <c r="L260" s="19"/>
      <c r="M260" s="19"/>
    </row>
    <row r="261" spans="1:13" x14ac:dyDescent="0.25">
      <c r="A261" s="14" t="s">
        <v>242</v>
      </c>
      <c r="B261" s="14" t="s">
        <v>23</v>
      </c>
      <c r="C261" s="14" t="s">
        <v>24</v>
      </c>
      <c r="D261" s="25" t="s">
        <v>243</v>
      </c>
      <c r="E261" s="11"/>
      <c r="F261" s="11"/>
      <c r="G261" s="11"/>
      <c r="H261" s="11"/>
      <c r="I261" s="11"/>
      <c r="J261" s="11"/>
      <c r="K261" s="15">
        <f>K264</f>
        <v>2</v>
      </c>
      <c r="L261" s="15">
        <f>L264</f>
        <v>0</v>
      </c>
      <c r="M261" s="15">
        <f>M264</f>
        <v>0</v>
      </c>
    </row>
    <row r="262" spans="1:13" ht="33.75" x14ac:dyDescent="0.25">
      <c r="A262" s="11"/>
      <c r="B262" s="11"/>
      <c r="C262" s="11"/>
      <c r="D262" s="16" t="s">
        <v>244</v>
      </c>
      <c r="E262" s="11"/>
      <c r="F262" s="11"/>
      <c r="G262" s="11"/>
      <c r="H262" s="11"/>
      <c r="I262" s="11"/>
      <c r="J262" s="11"/>
      <c r="K262" s="11"/>
      <c r="L262" s="11"/>
      <c r="M262" s="11"/>
    </row>
    <row r="263" spans="1:13" x14ac:dyDescent="0.25">
      <c r="A263" s="11"/>
      <c r="B263" s="11"/>
      <c r="C263" s="11"/>
      <c r="D263" s="16"/>
      <c r="E263" s="14" t="s">
        <v>18</v>
      </c>
      <c r="F263" s="11">
        <v>2</v>
      </c>
      <c r="G263" s="17">
        <v>0</v>
      </c>
      <c r="H263" s="17">
        <v>0</v>
      </c>
      <c r="I263" s="17">
        <v>0</v>
      </c>
      <c r="J263" s="15">
        <f>F263*(G263+ (G263= 0))*(H263+ (H263= 0))*(I263+ (I263= 0))</f>
        <v>2</v>
      </c>
      <c r="K263" s="11"/>
      <c r="L263" s="11"/>
      <c r="M263" s="11"/>
    </row>
    <row r="264" spans="1:13" x14ac:dyDescent="0.25">
      <c r="A264" s="11"/>
      <c r="B264" s="11"/>
      <c r="C264" s="11"/>
      <c r="D264" s="16"/>
      <c r="E264" s="11"/>
      <c r="F264" s="11"/>
      <c r="G264" s="11"/>
      <c r="H264" s="11"/>
      <c r="I264" s="11"/>
      <c r="J264" s="18" t="s">
        <v>245</v>
      </c>
      <c r="K264" s="10">
        <f>SUM(J263:J263)</f>
        <v>2</v>
      </c>
      <c r="L264" s="17">
        <v>0</v>
      </c>
      <c r="M264" s="10">
        <f>ROUND(L264*K264,2)</f>
        <v>0</v>
      </c>
    </row>
    <row r="265" spans="1:13" x14ac:dyDescent="0.25">
      <c r="A265" s="19"/>
      <c r="B265" s="19"/>
      <c r="C265" s="19"/>
      <c r="D265" s="26"/>
      <c r="E265" s="19"/>
      <c r="F265" s="19"/>
      <c r="G265" s="19"/>
      <c r="H265" s="19"/>
      <c r="I265" s="19"/>
      <c r="J265" s="19"/>
      <c r="K265" s="19"/>
      <c r="L265" s="19"/>
      <c r="M265" s="19"/>
    </row>
    <row r="266" spans="1:13" x14ac:dyDescent="0.25">
      <c r="A266" s="14" t="s">
        <v>246</v>
      </c>
      <c r="B266" s="14" t="s">
        <v>23</v>
      </c>
      <c r="C266" s="14" t="s">
        <v>24</v>
      </c>
      <c r="D266" s="25" t="s">
        <v>247</v>
      </c>
      <c r="E266" s="11"/>
      <c r="F266" s="11"/>
      <c r="G266" s="11"/>
      <c r="H266" s="11"/>
      <c r="I266" s="11"/>
      <c r="J266" s="11"/>
      <c r="K266" s="15">
        <f>K269</f>
        <v>1</v>
      </c>
      <c r="L266" s="15">
        <f>L269</f>
        <v>0</v>
      </c>
      <c r="M266" s="15">
        <f>M269</f>
        <v>0</v>
      </c>
    </row>
    <row r="267" spans="1:13" ht="22.5" x14ac:dyDescent="0.25">
      <c r="A267" s="11"/>
      <c r="B267" s="11"/>
      <c r="C267" s="11"/>
      <c r="D267" s="16" t="s">
        <v>248</v>
      </c>
      <c r="E267" s="11"/>
      <c r="F267" s="11"/>
      <c r="G267" s="11"/>
      <c r="H267" s="11"/>
      <c r="I267" s="11"/>
      <c r="J267" s="11"/>
      <c r="K267" s="11"/>
      <c r="L267" s="11"/>
      <c r="M267" s="11"/>
    </row>
    <row r="268" spans="1:13" x14ac:dyDescent="0.25">
      <c r="A268" s="11"/>
      <c r="B268" s="11"/>
      <c r="C268" s="11"/>
      <c r="D268" s="16"/>
      <c r="E268" s="14" t="s">
        <v>18</v>
      </c>
      <c r="F268" s="11">
        <v>1</v>
      </c>
      <c r="G268" s="17">
        <v>0</v>
      </c>
      <c r="H268" s="17">
        <v>0</v>
      </c>
      <c r="I268" s="17">
        <v>0</v>
      </c>
      <c r="J268" s="15">
        <f>F268*(G268+ (G268= 0))*(H268+ (H268= 0))*(I268+ (I268= 0))</f>
        <v>1</v>
      </c>
      <c r="K268" s="11"/>
      <c r="L268" s="11"/>
      <c r="M268" s="11"/>
    </row>
    <row r="269" spans="1:13" x14ac:dyDescent="0.25">
      <c r="A269" s="11"/>
      <c r="B269" s="11"/>
      <c r="C269" s="11"/>
      <c r="D269" s="16"/>
      <c r="E269" s="11"/>
      <c r="F269" s="11"/>
      <c r="G269" s="11"/>
      <c r="H269" s="11"/>
      <c r="I269" s="11"/>
      <c r="J269" s="18" t="s">
        <v>249</v>
      </c>
      <c r="K269" s="10">
        <f>SUM(J268:J268)</f>
        <v>1</v>
      </c>
      <c r="L269" s="17">
        <v>0</v>
      </c>
      <c r="M269" s="10">
        <f>ROUND(L269*K269,2)</f>
        <v>0</v>
      </c>
    </row>
    <row r="270" spans="1:13" x14ac:dyDescent="0.25">
      <c r="A270" s="19"/>
      <c r="B270" s="19"/>
      <c r="C270" s="19"/>
      <c r="D270" s="26"/>
      <c r="E270" s="19"/>
      <c r="F270" s="19"/>
      <c r="G270" s="19"/>
      <c r="H270" s="19"/>
      <c r="I270" s="19"/>
      <c r="J270" s="19"/>
      <c r="K270" s="19"/>
      <c r="L270" s="19"/>
      <c r="M270" s="19"/>
    </row>
    <row r="271" spans="1:13" x14ac:dyDescent="0.25">
      <c r="A271" s="11"/>
      <c r="B271" s="11"/>
      <c r="C271" s="11"/>
      <c r="D271" s="16"/>
      <c r="E271" s="11"/>
      <c r="F271" s="11"/>
      <c r="G271" s="11"/>
      <c r="H271" s="11"/>
      <c r="I271" s="11"/>
      <c r="J271" s="18" t="s">
        <v>250</v>
      </c>
      <c r="K271" s="17">
        <v>1</v>
      </c>
      <c r="L271" s="10">
        <f>M249+M254+M259+M264+M269</f>
        <v>0</v>
      </c>
      <c r="M271" s="10">
        <f>ROUND(L271*K271,2)</f>
        <v>0</v>
      </c>
    </row>
    <row r="272" spans="1:13" x14ac:dyDescent="0.25">
      <c r="A272" s="19"/>
      <c r="B272" s="19"/>
      <c r="C272" s="19"/>
      <c r="D272" s="26"/>
      <c r="E272" s="19"/>
      <c r="F272" s="19"/>
      <c r="G272" s="19"/>
      <c r="H272" s="19"/>
      <c r="I272" s="19"/>
      <c r="J272" s="19"/>
      <c r="K272" s="19"/>
      <c r="L272" s="19"/>
      <c r="M272" s="19"/>
    </row>
    <row r="273" spans="1:13" x14ac:dyDescent="0.25">
      <c r="A273" s="12" t="s">
        <v>251</v>
      </c>
      <c r="B273" s="12" t="s">
        <v>17</v>
      </c>
      <c r="C273" s="12" t="s">
        <v>18</v>
      </c>
      <c r="D273" s="24" t="s">
        <v>252</v>
      </c>
      <c r="E273" s="13"/>
      <c r="F273" s="13"/>
      <c r="G273" s="13"/>
      <c r="H273" s="13"/>
      <c r="I273" s="13"/>
      <c r="J273" s="13"/>
      <c r="K273" s="10">
        <f>K315</f>
        <v>1</v>
      </c>
      <c r="L273" s="10">
        <f>L315</f>
        <v>0</v>
      </c>
      <c r="M273" s="10">
        <f>M315</f>
        <v>0</v>
      </c>
    </row>
    <row r="274" spans="1:13" x14ac:dyDescent="0.25">
      <c r="A274" s="11"/>
      <c r="B274" s="11"/>
      <c r="C274" s="11"/>
      <c r="D274" s="16"/>
      <c r="E274" s="11"/>
      <c r="F274" s="11"/>
      <c r="G274" s="11"/>
      <c r="H274" s="11"/>
      <c r="I274" s="11"/>
      <c r="J274" s="11"/>
      <c r="K274" s="11"/>
      <c r="L274" s="11"/>
      <c r="M274" s="11"/>
    </row>
    <row r="275" spans="1:13" x14ac:dyDescent="0.25">
      <c r="A275" s="14" t="s">
        <v>253</v>
      </c>
      <c r="B275" s="14" t="s">
        <v>23</v>
      </c>
      <c r="C275" s="14" t="s">
        <v>24</v>
      </c>
      <c r="D275" s="25" t="s">
        <v>254</v>
      </c>
      <c r="E275" s="11"/>
      <c r="F275" s="11"/>
      <c r="G275" s="11"/>
      <c r="H275" s="11"/>
      <c r="I275" s="11"/>
      <c r="J275" s="11"/>
      <c r="K275" s="15">
        <f>K278</f>
        <v>1</v>
      </c>
      <c r="L275" s="15">
        <f>L278</f>
        <v>0</v>
      </c>
      <c r="M275" s="15">
        <f>M278</f>
        <v>0</v>
      </c>
    </row>
    <row r="276" spans="1:13" ht="78.75" x14ac:dyDescent="0.25">
      <c r="A276" s="11"/>
      <c r="B276" s="11"/>
      <c r="C276" s="11"/>
      <c r="D276" s="16" t="s">
        <v>255</v>
      </c>
      <c r="E276" s="11"/>
      <c r="F276" s="11"/>
      <c r="G276" s="11"/>
      <c r="H276" s="11"/>
      <c r="I276" s="11"/>
      <c r="J276" s="11"/>
      <c r="K276" s="11"/>
      <c r="L276" s="11"/>
      <c r="M276" s="11"/>
    </row>
    <row r="277" spans="1:13" x14ac:dyDescent="0.25">
      <c r="A277" s="11"/>
      <c r="B277" s="11"/>
      <c r="C277" s="11"/>
      <c r="D277" s="16"/>
      <c r="E277" s="14" t="s">
        <v>18</v>
      </c>
      <c r="F277" s="11">
        <v>1</v>
      </c>
      <c r="G277" s="17">
        <v>0</v>
      </c>
      <c r="H277" s="17">
        <v>0</v>
      </c>
      <c r="I277" s="17">
        <v>0</v>
      </c>
      <c r="J277" s="15">
        <f>F277*(G277+ (G277= 0))*(H277+ (H277= 0))*(I277+ (I277= 0))</f>
        <v>1</v>
      </c>
      <c r="K277" s="11"/>
      <c r="L277" s="11"/>
      <c r="M277" s="11"/>
    </row>
    <row r="278" spans="1:13" x14ac:dyDescent="0.25">
      <c r="A278" s="11"/>
      <c r="B278" s="11"/>
      <c r="C278" s="11"/>
      <c r="D278" s="16"/>
      <c r="E278" s="11"/>
      <c r="F278" s="11"/>
      <c r="G278" s="11"/>
      <c r="H278" s="11"/>
      <c r="I278" s="11"/>
      <c r="J278" s="18" t="s">
        <v>256</v>
      </c>
      <c r="K278" s="10">
        <f>SUM(J277:J277)</f>
        <v>1</v>
      </c>
      <c r="L278" s="17">
        <v>0</v>
      </c>
      <c r="M278" s="10">
        <f>ROUND(L278*K278,2)</f>
        <v>0</v>
      </c>
    </row>
    <row r="279" spans="1:13" x14ac:dyDescent="0.25">
      <c r="A279" s="19"/>
      <c r="B279" s="19"/>
      <c r="C279" s="19"/>
      <c r="D279" s="26"/>
      <c r="E279" s="19"/>
      <c r="F279" s="19"/>
      <c r="G279" s="19"/>
      <c r="H279" s="19"/>
      <c r="I279" s="19"/>
      <c r="J279" s="19"/>
      <c r="K279" s="19"/>
      <c r="L279" s="19"/>
      <c r="M279" s="19"/>
    </row>
    <row r="280" spans="1:13" x14ac:dyDescent="0.25">
      <c r="A280" s="14" t="s">
        <v>257</v>
      </c>
      <c r="B280" s="14" t="s">
        <v>23</v>
      </c>
      <c r="C280" s="14" t="s">
        <v>24</v>
      </c>
      <c r="D280" s="25" t="s">
        <v>258</v>
      </c>
      <c r="E280" s="11"/>
      <c r="F280" s="11"/>
      <c r="G280" s="11"/>
      <c r="H280" s="11"/>
      <c r="I280" s="11"/>
      <c r="J280" s="11"/>
      <c r="K280" s="15">
        <f>K283</f>
        <v>1</v>
      </c>
      <c r="L280" s="15">
        <f>L283</f>
        <v>0</v>
      </c>
      <c r="M280" s="15">
        <f>M283</f>
        <v>0</v>
      </c>
    </row>
    <row r="281" spans="1:13" ht="56.25" x14ac:dyDescent="0.25">
      <c r="A281" s="11"/>
      <c r="B281" s="11"/>
      <c r="C281" s="11"/>
      <c r="D281" s="16" t="s">
        <v>259</v>
      </c>
      <c r="E281" s="11"/>
      <c r="F281" s="11"/>
      <c r="G281" s="11"/>
      <c r="H281" s="11"/>
      <c r="I281" s="11"/>
      <c r="J281" s="11"/>
      <c r="K281" s="11"/>
      <c r="L281" s="11"/>
      <c r="M281" s="11"/>
    </row>
    <row r="282" spans="1:13" x14ac:dyDescent="0.25">
      <c r="A282" s="11"/>
      <c r="B282" s="11"/>
      <c r="C282" s="11"/>
      <c r="D282" s="16"/>
      <c r="E282" s="14" t="s">
        <v>18</v>
      </c>
      <c r="F282" s="11">
        <v>1</v>
      </c>
      <c r="G282" s="17">
        <v>0</v>
      </c>
      <c r="H282" s="17">
        <v>0</v>
      </c>
      <c r="I282" s="17">
        <v>0</v>
      </c>
      <c r="J282" s="15">
        <f>F282*(G282+ (G282= 0))*(H282+ (H282= 0))*(I282+ (I282= 0))</f>
        <v>1</v>
      </c>
      <c r="K282" s="11"/>
      <c r="L282" s="11"/>
      <c r="M282" s="11"/>
    </row>
    <row r="283" spans="1:13" x14ac:dyDescent="0.25">
      <c r="A283" s="11"/>
      <c r="B283" s="11"/>
      <c r="C283" s="11"/>
      <c r="D283" s="16"/>
      <c r="E283" s="11"/>
      <c r="F283" s="11"/>
      <c r="G283" s="11"/>
      <c r="H283" s="11"/>
      <c r="I283" s="11"/>
      <c r="J283" s="18" t="s">
        <v>260</v>
      </c>
      <c r="K283" s="10">
        <f>SUM(J282:J282)</f>
        <v>1</v>
      </c>
      <c r="L283" s="17">
        <v>0</v>
      </c>
      <c r="M283" s="10">
        <f>ROUND(L283*K283,2)</f>
        <v>0</v>
      </c>
    </row>
    <row r="284" spans="1:13" x14ac:dyDescent="0.25">
      <c r="A284" s="19"/>
      <c r="B284" s="19"/>
      <c r="C284" s="19"/>
      <c r="D284" s="26"/>
      <c r="E284" s="19"/>
      <c r="F284" s="19"/>
      <c r="G284" s="19"/>
      <c r="H284" s="19"/>
      <c r="I284" s="19"/>
      <c r="J284" s="19"/>
      <c r="K284" s="19"/>
      <c r="L284" s="19"/>
      <c r="M284" s="19"/>
    </row>
    <row r="285" spans="1:13" x14ac:dyDescent="0.25">
      <c r="A285" s="14" t="s">
        <v>261</v>
      </c>
      <c r="B285" s="14" t="s">
        <v>23</v>
      </c>
      <c r="C285" s="14" t="s">
        <v>24</v>
      </c>
      <c r="D285" s="25" t="s">
        <v>262</v>
      </c>
      <c r="E285" s="11"/>
      <c r="F285" s="11"/>
      <c r="G285" s="11"/>
      <c r="H285" s="11"/>
      <c r="I285" s="11"/>
      <c r="J285" s="11"/>
      <c r="K285" s="15">
        <f>K288</f>
        <v>1</v>
      </c>
      <c r="L285" s="15">
        <f>L288</f>
        <v>0</v>
      </c>
      <c r="M285" s="15">
        <f>M288</f>
        <v>0</v>
      </c>
    </row>
    <row r="286" spans="1:13" ht="33.75" x14ac:dyDescent="0.25">
      <c r="A286" s="11"/>
      <c r="B286" s="11"/>
      <c r="C286" s="11"/>
      <c r="D286" s="16" t="s">
        <v>263</v>
      </c>
      <c r="E286" s="11"/>
      <c r="F286" s="11"/>
      <c r="G286" s="11"/>
      <c r="H286" s="11"/>
      <c r="I286" s="11"/>
      <c r="J286" s="11"/>
      <c r="K286" s="11"/>
      <c r="L286" s="11"/>
      <c r="M286" s="11"/>
    </row>
    <row r="287" spans="1:13" x14ac:dyDescent="0.25">
      <c r="A287" s="11"/>
      <c r="B287" s="11"/>
      <c r="C287" s="11"/>
      <c r="D287" s="16"/>
      <c r="E287" s="14" t="s">
        <v>18</v>
      </c>
      <c r="F287" s="11">
        <v>1</v>
      </c>
      <c r="G287" s="17">
        <v>0</v>
      </c>
      <c r="H287" s="17">
        <v>0</v>
      </c>
      <c r="I287" s="17">
        <v>0</v>
      </c>
      <c r="J287" s="15">
        <f>F287*(G287+ (G287= 0))*(H287+ (H287= 0))*(I287+ (I287= 0))</f>
        <v>1</v>
      </c>
      <c r="K287" s="11"/>
      <c r="L287" s="11"/>
      <c r="M287" s="11"/>
    </row>
    <row r="288" spans="1:13" x14ac:dyDescent="0.25">
      <c r="A288" s="11"/>
      <c r="B288" s="11"/>
      <c r="C288" s="11"/>
      <c r="D288" s="16"/>
      <c r="E288" s="11"/>
      <c r="F288" s="11"/>
      <c r="G288" s="11"/>
      <c r="H288" s="11"/>
      <c r="I288" s="11"/>
      <c r="J288" s="18" t="s">
        <v>264</v>
      </c>
      <c r="K288" s="10">
        <f>SUM(J287:J287)</f>
        <v>1</v>
      </c>
      <c r="L288" s="17">
        <v>0</v>
      </c>
      <c r="M288" s="10">
        <f>ROUND(L288*K288,2)</f>
        <v>0</v>
      </c>
    </row>
    <row r="289" spans="1:13" x14ac:dyDescent="0.25">
      <c r="A289" s="19"/>
      <c r="B289" s="19"/>
      <c r="C289" s="19"/>
      <c r="D289" s="26"/>
      <c r="E289" s="19"/>
      <c r="F289" s="19"/>
      <c r="G289" s="19"/>
      <c r="H289" s="19"/>
      <c r="I289" s="19"/>
      <c r="J289" s="19"/>
      <c r="K289" s="19"/>
      <c r="L289" s="19"/>
      <c r="M289" s="19"/>
    </row>
    <row r="290" spans="1:13" x14ac:dyDescent="0.25">
      <c r="A290" s="14" t="s">
        <v>265</v>
      </c>
      <c r="B290" s="14" t="s">
        <v>23</v>
      </c>
      <c r="C290" s="14" t="s">
        <v>24</v>
      </c>
      <c r="D290" s="25" t="s">
        <v>266</v>
      </c>
      <c r="E290" s="11"/>
      <c r="F290" s="11"/>
      <c r="G290" s="11"/>
      <c r="H290" s="11"/>
      <c r="I290" s="11"/>
      <c r="J290" s="11"/>
      <c r="K290" s="15">
        <f>K293</f>
        <v>1</v>
      </c>
      <c r="L290" s="15">
        <f>L293</f>
        <v>0</v>
      </c>
      <c r="M290" s="15">
        <f>M293</f>
        <v>0</v>
      </c>
    </row>
    <row r="291" spans="1:13" ht="33.75" x14ac:dyDescent="0.25">
      <c r="A291" s="11"/>
      <c r="B291" s="11"/>
      <c r="C291" s="11"/>
      <c r="D291" s="16" t="s">
        <v>267</v>
      </c>
      <c r="E291" s="11"/>
      <c r="F291" s="11"/>
      <c r="G291" s="11"/>
      <c r="H291" s="11"/>
      <c r="I291" s="11"/>
      <c r="J291" s="11"/>
      <c r="K291" s="11"/>
      <c r="L291" s="11"/>
      <c r="M291" s="11"/>
    </row>
    <row r="292" spans="1:13" x14ac:dyDescent="0.25">
      <c r="A292" s="11"/>
      <c r="B292" s="11"/>
      <c r="C292" s="11"/>
      <c r="D292" s="16"/>
      <c r="E292" s="14" t="s">
        <v>18</v>
      </c>
      <c r="F292" s="11">
        <v>1</v>
      </c>
      <c r="G292" s="17">
        <v>0</v>
      </c>
      <c r="H292" s="17">
        <v>0</v>
      </c>
      <c r="I292" s="17">
        <v>0</v>
      </c>
      <c r="J292" s="15">
        <f>F292*(G292+ (G292= 0))*(H292+ (H292= 0))*(I292+ (I292= 0))</f>
        <v>1</v>
      </c>
      <c r="K292" s="11"/>
      <c r="L292" s="11"/>
      <c r="M292" s="11"/>
    </row>
    <row r="293" spans="1:13" x14ac:dyDescent="0.25">
      <c r="A293" s="11"/>
      <c r="B293" s="11"/>
      <c r="C293" s="11"/>
      <c r="D293" s="16"/>
      <c r="E293" s="11"/>
      <c r="F293" s="11"/>
      <c r="G293" s="11"/>
      <c r="H293" s="11"/>
      <c r="I293" s="11"/>
      <c r="J293" s="18" t="s">
        <v>268</v>
      </c>
      <c r="K293" s="10">
        <f>SUM(J292:J292)</f>
        <v>1</v>
      </c>
      <c r="L293" s="17">
        <v>0</v>
      </c>
      <c r="M293" s="10">
        <f>ROUND(L293*K293,2)</f>
        <v>0</v>
      </c>
    </row>
    <row r="294" spans="1:13" x14ac:dyDescent="0.25">
      <c r="A294" s="19"/>
      <c r="B294" s="19"/>
      <c r="C294" s="19"/>
      <c r="D294" s="26"/>
      <c r="E294" s="19"/>
      <c r="F294" s="19"/>
      <c r="G294" s="19"/>
      <c r="H294" s="19"/>
      <c r="I294" s="19"/>
      <c r="J294" s="19"/>
      <c r="K294" s="19"/>
      <c r="L294" s="19"/>
      <c r="M294" s="19"/>
    </row>
    <row r="295" spans="1:13" x14ac:dyDescent="0.25">
      <c r="A295" s="14" t="s">
        <v>269</v>
      </c>
      <c r="B295" s="14" t="s">
        <v>23</v>
      </c>
      <c r="C295" s="14" t="s">
        <v>24</v>
      </c>
      <c r="D295" s="25" t="s">
        <v>270</v>
      </c>
      <c r="E295" s="11"/>
      <c r="F295" s="11"/>
      <c r="G295" s="11"/>
      <c r="H295" s="11"/>
      <c r="I295" s="11"/>
      <c r="J295" s="11"/>
      <c r="K295" s="15">
        <f>K298</f>
        <v>2</v>
      </c>
      <c r="L295" s="15">
        <f>L298</f>
        <v>0</v>
      </c>
      <c r="M295" s="15">
        <f>M298</f>
        <v>0</v>
      </c>
    </row>
    <row r="296" spans="1:13" ht="45" x14ac:dyDescent="0.25">
      <c r="A296" s="11"/>
      <c r="B296" s="11"/>
      <c r="C296" s="11"/>
      <c r="D296" s="16" t="s">
        <v>271</v>
      </c>
      <c r="E296" s="11"/>
      <c r="F296" s="11"/>
      <c r="G296" s="11"/>
      <c r="H296" s="11"/>
      <c r="I296" s="11"/>
      <c r="J296" s="11"/>
      <c r="K296" s="11"/>
      <c r="L296" s="11"/>
      <c r="M296" s="11"/>
    </row>
    <row r="297" spans="1:13" x14ac:dyDescent="0.25">
      <c r="A297" s="11"/>
      <c r="B297" s="11"/>
      <c r="C297" s="11"/>
      <c r="D297" s="16"/>
      <c r="E297" s="14" t="s">
        <v>18</v>
      </c>
      <c r="F297" s="11">
        <v>2</v>
      </c>
      <c r="G297" s="17">
        <v>0</v>
      </c>
      <c r="H297" s="17">
        <v>0</v>
      </c>
      <c r="I297" s="17">
        <v>0</v>
      </c>
      <c r="J297" s="15">
        <f>F297*(G297+ (G297= 0))*(H297+ (H297= 0))*(I297+ (I297= 0))</f>
        <v>2</v>
      </c>
      <c r="K297" s="11"/>
      <c r="L297" s="11"/>
      <c r="M297" s="11"/>
    </row>
    <row r="298" spans="1:13" x14ac:dyDescent="0.25">
      <c r="A298" s="11"/>
      <c r="B298" s="11"/>
      <c r="C298" s="11"/>
      <c r="D298" s="16"/>
      <c r="E298" s="11"/>
      <c r="F298" s="11"/>
      <c r="G298" s="11"/>
      <c r="H298" s="11"/>
      <c r="I298" s="11"/>
      <c r="J298" s="18" t="s">
        <v>272</v>
      </c>
      <c r="K298" s="10">
        <f>SUM(J297:J297)</f>
        <v>2</v>
      </c>
      <c r="L298" s="17">
        <v>0</v>
      </c>
      <c r="M298" s="10">
        <f>ROUND(L298*K298,2)</f>
        <v>0</v>
      </c>
    </row>
    <row r="299" spans="1:13" x14ac:dyDescent="0.25">
      <c r="A299" s="19"/>
      <c r="B299" s="19"/>
      <c r="C299" s="19"/>
      <c r="D299" s="26"/>
      <c r="E299" s="19"/>
      <c r="F299" s="19"/>
      <c r="G299" s="19"/>
      <c r="H299" s="19"/>
      <c r="I299" s="19"/>
      <c r="J299" s="19"/>
      <c r="K299" s="19"/>
      <c r="L299" s="19"/>
      <c r="M299" s="19"/>
    </row>
    <row r="300" spans="1:13" x14ac:dyDescent="0.25">
      <c r="A300" s="14" t="s">
        <v>273</v>
      </c>
      <c r="B300" s="14" t="s">
        <v>23</v>
      </c>
      <c r="C300" s="14" t="s">
        <v>24</v>
      </c>
      <c r="D300" s="25" t="s">
        <v>274</v>
      </c>
      <c r="E300" s="11"/>
      <c r="F300" s="11"/>
      <c r="G300" s="11"/>
      <c r="H300" s="11"/>
      <c r="I300" s="11"/>
      <c r="J300" s="11"/>
      <c r="K300" s="15">
        <f>K303</f>
        <v>1</v>
      </c>
      <c r="L300" s="15">
        <f>L303</f>
        <v>0</v>
      </c>
      <c r="M300" s="15">
        <f>M303</f>
        <v>0</v>
      </c>
    </row>
    <row r="301" spans="1:13" ht="56.25" x14ac:dyDescent="0.25">
      <c r="A301" s="11"/>
      <c r="B301" s="11"/>
      <c r="C301" s="11"/>
      <c r="D301" s="16" t="s">
        <v>275</v>
      </c>
      <c r="E301" s="11"/>
      <c r="F301" s="11"/>
      <c r="G301" s="11"/>
      <c r="H301" s="11"/>
      <c r="I301" s="11"/>
      <c r="J301" s="11"/>
      <c r="K301" s="11"/>
      <c r="L301" s="11"/>
      <c r="M301" s="11"/>
    </row>
    <row r="302" spans="1:13" x14ac:dyDescent="0.25">
      <c r="A302" s="11"/>
      <c r="B302" s="11"/>
      <c r="C302" s="11"/>
      <c r="D302" s="16"/>
      <c r="E302" s="14" t="s">
        <v>18</v>
      </c>
      <c r="F302" s="11">
        <v>1</v>
      </c>
      <c r="G302" s="17">
        <v>0</v>
      </c>
      <c r="H302" s="17">
        <v>0</v>
      </c>
      <c r="I302" s="17">
        <v>0</v>
      </c>
      <c r="J302" s="15">
        <f>F302*(G302+ (G302= 0))*(H302+ (H302= 0))*(I302+ (I302= 0))</f>
        <v>1</v>
      </c>
      <c r="K302" s="11"/>
      <c r="L302" s="11"/>
      <c r="M302" s="11"/>
    </row>
    <row r="303" spans="1:13" x14ac:dyDescent="0.25">
      <c r="A303" s="11"/>
      <c r="B303" s="11"/>
      <c r="C303" s="11"/>
      <c r="D303" s="16"/>
      <c r="E303" s="11"/>
      <c r="F303" s="11"/>
      <c r="G303" s="11"/>
      <c r="H303" s="11"/>
      <c r="I303" s="11"/>
      <c r="J303" s="18" t="s">
        <v>276</v>
      </c>
      <c r="K303" s="10">
        <f>SUM(J302:J302)</f>
        <v>1</v>
      </c>
      <c r="L303" s="17">
        <v>0</v>
      </c>
      <c r="M303" s="10">
        <f>ROUND(L303*K303,2)</f>
        <v>0</v>
      </c>
    </row>
    <row r="304" spans="1:13" x14ac:dyDescent="0.25">
      <c r="A304" s="19"/>
      <c r="B304" s="19"/>
      <c r="C304" s="19"/>
      <c r="D304" s="26"/>
      <c r="E304" s="19"/>
      <c r="F304" s="19"/>
      <c r="G304" s="19"/>
      <c r="H304" s="19"/>
      <c r="I304" s="19"/>
      <c r="J304" s="19"/>
      <c r="K304" s="19"/>
      <c r="L304" s="19"/>
      <c r="M304" s="19"/>
    </row>
    <row r="305" spans="1:13" x14ac:dyDescent="0.25">
      <c r="A305" s="14" t="s">
        <v>277</v>
      </c>
      <c r="B305" s="14" t="s">
        <v>23</v>
      </c>
      <c r="C305" s="14" t="s">
        <v>279</v>
      </c>
      <c r="D305" s="25" t="s">
        <v>278</v>
      </c>
      <c r="E305" s="11"/>
      <c r="F305" s="11"/>
      <c r="G305" s="11"/>
      <c r="H305" s="11"/>
      <c r="I305" s="11"/>
      <c r="J305" s="11"/>
      <c r="K305" s="15">
        <f>K308</f>
        <v>1</v>
      </c>
      <c r="L305" s="15">
        <f>L308</f>
        <v>0</v>
      </c>
      <c r="M305" s="15">
        <f>M308</f>
        <v>0</v>
      </c>
    </row>
    <row r="306" spans="1:13" ht="67.5" x14ac:dyDescent="0.25">
      <c r="A306" s="11"/>
      <c r="B306" s="11"/>
      <c r="C306" s="11"/>
      <c r="D306" s="16" t="s">
        <v>280</v>
      </c>
      <c r="E306" s="11"/>
      <c r="F306" s="11"/>
      <c r="G306" s="11"/>
      <c r="H306" s="11"/>
      <c r="I306" s="11"/>
      <c r="J306" s="11"/>
      <c r="K306" s="11"/>
      <c r="L306" s="11"/>
      <c r="M306" s="11"/>
    </row>
    <row r="307" spans="1:13" x14ac:dyDescent="0.25">
      <c r="A307" s="11"/>
      <c r="B307" s="11"/>
      <c r="C307" s="11"/>
      <c r="D307" s="16"/>
      <c r="E307" s="14" t="s">
        <v>281</v>
      </c>
      <c r="F307" s="11">
        <v>1</v>
      </c>
      <c r="G307" s="17">
        <v>0</v>
      </c>
      <c r="H307" s="17">
        <v>0</v>
      </c>
      <c r="I307" s="17">
        <v>0</v>
      </c>
      <c r="J307" s="15">
        <f>F307*(G307+ (G307= 0))*(H307+ (H307= 0))*(I307+ (I307= 0))</f>
        <v>1</v>
      </c>
      <c r="K307" s="11"/>
      <c r="L307" s="11"/>
      <c r="M307" s="11"/>
    </row>
    <row r="308" spans="1:13" x14ac:dyDescent="0.25">
      <c r="A308" s="11"/>
      <c r="B308" s="11"/>
      <c r="C308" s="11"/>
      <c r="D308" s="16"/>
      <c r="E308" s="11"/>
      <c r="F308" s="11"/>
      <c r="G308" s="11"/>
      <c r="H308" s="11"/>
      <c r="I308" s="11"/>
      <c r="J308" s="18" t="s">
        <v>282</v>
      </c>
      <c r="K308" s="10">
        <f>SUM(J307:J307)</f>
        <v>1</v>
      </c>
      <c r="L308" s="17">
        <v>0</v>
      </c>
      <c r="M308" s="10">
        <f>ROUND(L308*K308,2)</f>
        <v>0</v>
      </c>
    </row>
    <row r="309" spans="1:13" x14ac:dyDescent="0.25">
      <c r="A309" s="19"/>
      <c r="B309" s="19"/>
      <c r="C309" s="19"/>
      <c r="D309" s="26"/>
      <c r="E309" s="19"/>
      <c r="F309" s="19"/>
      <c r="G309" s="19"/>
      <c r="H309" s="19"/>
      <c r="I309" s="19"/>
      <c r="J309" s="19"/>
      <c r="K309" s="19"/>
      <c r="L309" s="19"/>
      <c r="M309" s="19"/>
    </row>
    <row r="310" spans="1:13" x14ac:dyDescent="0.25">
      <c r="A310" s="14" t="s">
        <v>283</v>
      </c>
      <c r="B310" s="14" t="s">
        <v>23</v>
      </c>
      <c r="C310" s="14" t="s">
        <v>279</v>
      </c>
      <c r="D310" s="25" t="s">
        <v>284</v>
      </c>
      <c r="E310" s="11"/>
      <c r="F310" s="11"/>
      <c r="G310" s="11"/>
      <c r="H310" s="11"/>
      <c r="I310" s="11"/>
      <c r="J310" s="11"/>
      <c r="K310" s="15">
        <f>K313</f>
        <v>2</v>
      </c>
      <c r="L310" s="15">
        <f>L313</f>
        <v>0</v>
      </c>
      <c r="M310" s="15">
        <f>M313</f>
        <v>0</v>
      </c>
    </row>
    <row r="311" spans="1:13" ht="45" x14ac:dyDescent="0.25">
      <c r="A311" s="11"/>
      <c r="B311" s="11"/>
      <c r="C311" s="11"/>
      <c r="D311" s="16" t="s">
        <v>285</v>
      </c>
      <c r="E311" s="11"/>
      <c r="F311" s="11"/>
      <c r="G311" s="11"/>
      <c r="H311" s="11"/>
      <c r="I311" s="11"/>
      <c r="J311" s="11"/>
      <c r="K311" s="11"/>
      <c r="L311" s="11"/>
      <c r="M311" s="11"/>
    </row>
    <row r="312" spans="1:13" x14ac:dyDescent="0.25">
      <c r="A312" s="11"/>
      <c r="B312" s="11"/>
      <c r="C312" s="11"/>
      <c r="D312" s="16"/>
      <c r="E312" s="14" t="s">
        <v>286</v>
      </c>
      <c r="F312" s="11">
        <v>2</v>
      </c>
      <c r="G312" s="17">
        <v>0</v>
      </c>
      <c r="H312" s="17">
        <v>0</v>
      </c>
      <c r="I312" s="17">
        <v>0</v>
      </c>
      <c r="J312" s="15">
        <f>F312*(G312+ (G312= 0))*(H312+ (H312= 0))*(I312+ (I312= 0))</f>
        <v>2</v>
      </c>
      <c r="K312" s="11"/>
      <c r="L312" s="11"/>
      <c r="M312" s="11"/>
    </row>
    <row r="313" spans="1:13" x14ac:dyDescent="0.25">
      <c r="A313" s="11"/>
      <c r="B313" s="11"/>
      <c r="C313" s="11"/>
      <c r="D313" s="16"/>
      <c r="E313" s="11"/>
      <c r="F313" s="11"/>
      <c r="G313" s="11"/>
      <c r="H313" s="11"/>
      <c r="I313" s="11"/>
      <c r="J313" s="18" t="s">
        <v>287</v>
      </c>
      <c r="K313" s="10">
        <f>SUM(J312:J312)</f>
        <v>2</v>
      </c>
      <c r="L313" s="17">
        <v>0</v>
      </c>
      <c r="M313" s="10">
        <f>ROUND(L313*K313,2)</f>
        <v>0</v>
      </c>
    </row>
    <row r="314" spans="1:13" x14ac:dyDescent="0.25">
      <c r="A314" s="19"/>
      <c r="B314" s="19"/>
      <c r="C314" s="19"/>
      <c r="D314" s="26"/>
      <c r="E314" s="19"/>
      <c r="F314" s="19"/>
      <c r="G314" s="19"/>
      <c r="H314" s="19"/>
      <c r="I314" s="19"/>
      <c r="J314" s="19"/>
      <c r="K314" s="19"/>
      <c r="L314" s="19"/>
      <c r="M314" s="19"/>
    </row>
    <row r="315" spans="1:13" x14ac:dyDescent="0.25">
      <c r="A315" s="11"/>
      <c r="B315" s="11"/>
      <c r="C315" s="11"/>
      <c r="D315" s="16"/>
      <c r="E315" s="11"/>
      <c r="F315" s="11"/>
      <c r="G315" s="11"/>
      <c r="H315" s="11"/>
      <c r="I315" s="11"/>
      <c r="J315" s="18" t="s">
        <v>288</v>
      </c>
      <c r="K315" s="17">
        <v>1</v>
      </c>
      <c r="L315" s="10">
        <f>M278+M283+M288+M293+M298+M303+M308+M313</f>
        <v>0</v>
      </c>
      <c r="M315" s="10">
        <f>ROUND(L315*K315,2)</f>
        <v>0</v>
      </c>
    </row>
    <row r="316" spans="1:13" x14ac:dyDescent="0.25">
      <c r="A316" s="19"/>
      <c r="B316" s="19"/>
      <c r="C316" s="19"/>
      <c r="D316" s="26"/>
      <c r="E316" s="19"/>
      <c r="F316" s="19"/>
      <c r="G316" s="19"/>
      <c r="H316" s="19"/>
      <c r="I316" s="19"/>
      <c r="J316" s="19"/>
      <c r="K316" s="19"/>
      <c r="L316" s="19"/>
      <c r="M316" s="19"/>
    </row>
    <row r="317" spans="1:13" x14ac:dyDescent="0.25">
      <c r="A317" s="12" t="s">
        <v>289</v>
      </c>
      <c r="B317" s="12" t="s">
        <v>17</v>
      </c>
      <c r="C317" s="12" t="s">
        <v>18</v>
      </c>
      <c r="D317" s="24" t="s">
        <v>290</v>
      </c>
      <c r="E317" s="13"/>
      <c r="F317" s="13"/>
      <c r="G317" s="13"/>
      <c r="H317" s="13"/>
      <c r="I317" s="13"/>
      <c r="J317" s="13"/>
      <c r="K317" s="10">
        <f>K334</f>
        <v>1</v>
      </c>
      <c r="L317" s="10">
        <f>L334</f>
        <v>0</v>
      </c>
      <c r="M317" s="10">
        <f>M334</f>
        <v>0</v>
      </c>
    </row>
    <row r="318" spans="1:13" x14ac:dyDescent="0.25">
      <c r="A318" s="11"/>
      <c r="B318" s="11"/>
      <c r="C318" s="11"/>
      <c r="D318" s="16"/>
      <c r="E318" s="11"/>
      <c r="F318" s="11"/>
      <c r="G318" s="11"/>
      <c r="H318" s="11"/>
      <c r="I318" s="11"/>
      <c r="J318" s="11"/>
      <c r="K318" s="11"/>
      <c r="L318" s="11"/>
      <c r="M318" s="11"/>
    </row>
    <row r="319" spans="1:13" x14ac:dyDescent="0.25">
      <c r="A319" s="14" t="s">
        <v>291</v>
      </c>
      <c r="B319" s="14" t="s">
        <v>23</v>
      </c>
      <c r="C319" s="14" t="s">
        <v>24</v>
      </c>
      <c r="D319" s="25" t="s">
        <v>292</v>
      </c>
      <c r="E319" s="11"/>
      <c r="F319" s="11"/>
      <c r="G319" s="11"/>
      <c r="H319" s="11"/>
      <c r="I319" s="11"/>
      <c r="J319" s="11"/>
      <c r="K319" s="15">
        <f>K322</f>
        <v>1</v>
      </c>
      <c r="L319" s="15">
        <f>L322</f>
        <v>0</v>
      </c>
      <c r="M319" s="15">
        <f>M322</f>
        <v>0</v>
      </c>
    </row>
    <row r="320" spans="1:13" ht="123.75" x14ac:dyDescent="0.25">
      <c r="A320" s="11"/>
      <c r="B320" s="11"/>
      <c r="C320" s="11"/>
      <c r="D320" s="16" t="s">
        <v>293</v>
      </c>
      <c r="E320" s="11"/>
      <c r="F320" s="11"/>
      <c r="G320" s="11"/>
      <c r="H320" s="11"/>
      <c r="I320" s="11"/>
      <c r="J320" s="11"/>
      <c r="K320" s="11"/>
      <c r="L320" s="11"/>
      <c r="M320" s="11"/>
    </row>
    <row r="321" spans="1:13" x14ac:dyDescent="0.25">
      <c r="A321" s="11"/>
      <c r="B321" s="11"/>
      <c r="C321" s="11"/>
      <c r="D321" s="16"/>
      <c r="E321" s="14" t="s">
        <v>18</v>
      </c>
      <c r="F321" s="11">
        <v>1</v>
      </c>
      <c r="G321" s="17">
        <v>0</v>
      </c>
      <c r="H321" s="17">
        <v>0</v>
      </c>
      <c r="I321" s="17">
        <v>0</v>
      </c>
      <c r="J321" s="15">
        <f>F321*(G321+ (G321= 0))*(H321+ (H321= 0))*(I321+ (I321= 0))</f>
        <v>1</v>
      </c>
      <c r="K321" s="11"/>
      <c r="L321" s="11"/>
      <c r="M321" s="11"/>
    </row>
    <row r="322" spans="1:13" x14ac:dyDescent="0.25">
      <c r="A322" s="11"/>
      <c r="B322" s="11"/>
      <c r="C322" s="11"/>
      <c r="D322" s="16"/>
      <c r="E322" s="11"/>
      <c r="F322" s="11"/>
      <c r="G322" s="11"/>
      <c r="H322" s="11"/>
      <c r="I322" s="11"/>
      <c r="J322" s="18" t="s">
        <v>294</v>
      </c>
      <c r="K322" s="10">
        <f>SUM(J321:J321)</f>
        <v>1</v>
      </c>
      <c r="L322" s="17">
        <v>0</v>
      </c>
      <c r="M322" s="10">
        <f>ROUND(L322*K322,2)</f>
        <v>0</v>
      </c>
    </row>
    <row r="323" spans="1:13" x14ac:dyDescent="0.25">
      <c r="A323" s="19"/>
      <c r="B323" s="19"/>
      <c r="C323" s="19"/>
      <c r="D323" s="26"/>
      <c r="E323" s="19"/>
      <c r="F323" s="19"/>
      <c r="G323" s="19"/>
      <c r="H323" s="19"/>
      <c r="I323" s="19"/>
      <c r="J323" s="19"/>
      <c r="K323" s="19"/>
      <c r="L323" s="19"/>
      <c r="M323" s="19"/>
    </row>
    <row r="324" spans="1:13" x14ac:dyDescent="0.25">
      <c r="A324" s="14" t="s">
        <v>295</v>
      </c>
      <c r="B324" s="14" t="s">
        <v>23</v>
      </c>
      <c r="C324" s="14" t="s">
        <v>297</v>
      </c>
      <c r="D324" s="25" t="s">
        <v>296</v>
      </c>
      <c r="E324" s="11"/>
      <c r="F324" s="11"/>
      <c r="G324" s="11"/>
      <c r="H324" s="11"/>
      <c r="I324" s="11"/>
      <c r="J324" s="11"/>
      <c r="K324" s="15">
        <f>K327</f>
        <v>20</v>
      </c>
      <c r="L324" s="15">
        <f>L327</f>
        <v>0</v>
      </c>
      <c r="M324" s="15">
        <f>M327</f>
        <v>0</v>
      </c>
    </row>
    <row r="325" spans="1:13" ht="56.25" x14ac:dyDescent="0.25">
      <c r="A325" s="11"/>
      <c r="B325" s="11"/>
      <c r="C325" s="11"/>
      <c r="D325" s="16" t="s">
        <v>298</v>
      </c>
      <c r="E325" s="11"/>
      <c r="F325" s="11"/>
      <c r="G325" s="11"/>
      <c r="H325" s="11"/>
      <c r="I325" s="11"/>
      <c r="J325" s="11"/>
      <c r="K325" s="11"/>
      <c r="L325" s="11"/>
      <c r="M325" s="11"/>
    </row>
    <row r="326" spans="1:13" x14ac:dyDescent="0.25">
      <c r="A326" s="11"/>
      <c r="B326" s="11"/>
      <c r="C326" s="11"/>
      <c r="D326" s="16"/>
      <c r="E326" s="14" t="s">
        <v>18</v>
      </c>
      <c r="F326" s="11">
        <v>20</v>
      </c>
      <c r="G326" s="17">
        <v>0</v>
      </c>
      <c r="H326" s="17">
        <v>0</v>
      </c>
      <c r="I326" s="17">
        <v>0</v>
      </c>
      <c r="J326" s="15">
        <f>F326*(G326+ (G326= 0))*(H326+ (H326= 0))*(I326+ (I326= 0))</f>
        <v>20</v>
      </c>
      <c r="K326" s="11"/>
      <c r="L326" s="11"/>
      <c r="M326" s="11"/>
    </row>
    <row r="327" spans="1:13" x14ac:dyDescent="0.25">
      <c r="A327" s="11"/>
      <c r="B327" s="11"/>
      <c r="C327" s="11"/>
      <c r="D327" s="16"/>
      <c r="E327" s="11"/>
      <c r="F327" s="11"/>
      <c r="G327" s="11"/>
      <c r="H327" s="11"/>
      <c r="I327" s="11"/>
      <c r="J327" s="18" t="s">
        <v>299</v>
      </c>
      <c r="K327" s="10">
        <f>SUM(J326:J326)</f>
        <v>20</v>
      </c>
      <c r="L327" s="17">
        <v>0</v>
      </c>
      <c r="M327" s="10">
        <f>ROUND(L327*K327,2)</f>
        <v>0</v>
      </c>
    </row>
    <row r="328" spans="1:13" x14ac:dyDescent="0.25">
      <c r="A328" s="19"/>
      <c r="B328" s="19"/>
      <c r="C328" s="19"/>
      <c r="D328" s="26"/>
      <c r="E328" s="19"/>
      <c r="F328" s="19"/>
      <c r="G328" s="19"/>
      <c r="H328" s="19"/>
      <c r="I328" s="19"/>
      <c r="J328" s="19"/>
      <c r="K328" s="19"/>
      <c r="L328" s="19"/>
      <c r="M328" s="19"/>
    </row>
    <row r="329" spans="1:13" x14ac:dyDescent="0.25">
      <c r="A329" s="14" t="s">
        <v>300</v>
      </c>
      <c r="B329" s="14" t="s">
        <v>23</v>
      </c>
      <c r="C329" s="14" t="s">
        <v>24</v>
      </c>
      <c r="D329" s="25" t="s">
        <v>301</v>
      </c>
      <c r="E329" s="11"/>
      <c r="F329" s="11"/>
      <c r="G329" s="11"/>
      <c r="H329" s="11"/>
      <c r="I329" s="11"/>
      <c r="J329" s="11"/>
      <c r="K329" s="15">
        <f>K332</f>
        <v>1</v>
      </c>
      <c r="L329" s="15">
        <f>L332</f>
        <v>0</v>
      </c>
      <c r="M329" s="15">
        <f>M332</f>
        <v>0</v>
      </c>
    </row>
    <row r="330" spans="1:13" ht="45" x14ac:dyDescent="0.25">
      <c r="A330" s="11"/>
      <c r="B330" s="11"/>
      <c r="C330" s="11"/>
      <c r="D330" s="16" t="s">
        <v>302</v>
      </c>
      <c r="E330" s="11"/>
      <c r="F330" s="11"/>
      <c r="G330" s="11"/>
      <c r="H330" s="11"/>
      <c r="I330" s="11"/>
      <c r="J330" s="11"/>
      <c r="K330" s="11"/>
      <c r="L330" s="11"/>
      <c r="M330" s="11"/>
    </row>
    <row r="331" spans="1:13" x14ac:dyDescent="0.25">
      <c r="A331" s="11"/>
      <c r="B331" s="11"/>
      <c r="C331" s="11"/>
      <c r="D331" s="16"/>
      <c r="E331" s="14" t="s">
        <v>18</v>
      </c>
      <c r="F331" s="11">
        <v>1</v>
      </c>
      <c r="G331" s="17">
        <v>0</v>
      </c>
      <c r="H331" s="17">
        <v>0</v>
      </c>
      <c r="I331" s="17">
        <v>0</v>
      </c>
      <c r="J331" s="15">
        <f>F331*(G331+ (G331= 0))*(H331+ (H331= 0))*(I331+ (I331= 0))</f>
        <v>1</v>
      </c>
      <c r="K331" s="11"/>
      <c r="L331" s="11"/>
      <c r="M331" s="11"/>
    </row>
    <row r="332" spans="1:13" x14ac:dyDescent="0.25">
      <c r="A332" s="11"/>
      <c r="B332" s="11"/>
      <c r="C332" s="11"/>
      <c r="D332" s="16"/>
      <c r="E332" s="11"/>
      <c r="F332" s="11"/>
      <c r="G332" s="11"/>
      <c r="H332" s="11"/>
      <c r="I332" s="11"/>
      <c r="J332" s="18" t="s">
        <v>303</v>
      </c>
      <c r="K332" s="10">
        <f>SUM(J331:J331)</f>
        <v>1</v>
      </c>
      <c r="L332" s="17">
        <v>0</v>
      </c>
      <c r="M332" s="10">
        <f>ROUND(L332*K332,2)</f>
        <v>0</v>
      </c>
    </row>
    <row r="333" spans="1:13" x14ac:dyDescent="0.25">
      <c r="A333" s="19"/>
      <c r="B333" s="19"/>
      <c r="C333" s="19"/>
      <c r="D333" s="26"/>
      <c r="E333" s="19"/>
      <c r="F333" s="19"/>
      <c r="G333" s="19"/>
      <c r="H333" s="19"/>
      <c r="I333" s="19"/>
      <c r="J333" s="19"/>
      <c r="K333" s="19"/>
      <c r="L333" s="19"/>
      <c r="M333" s="19"/>
    </row>
    <row r="334" spans="1:13" x14ac:dyDescent="0.25">
      <c r="A334" s="11"/>
      <c r="B334" s="11"/>
      <c r="C334" s="11"/>
      <c r="D334" s="16"/>
      <c r="E334" s="11"/>
      <c r="F334" s="11"/>
      <c r="G334" s="11"/>
      <c r="H334" s="11"/>
      <c r="I334" s="11"/>
      <c r="J334" s="18" t="s">
        <v>304</v>
      </c>
      <c r="K334" s="17">
        <v>1</v>
      </c>
      <c r="L334" s="10">
        <f>M322+M327+M332</f>
        <v>0</v>
      </c>
      <c r="M334" s="10">
        <f>ROUND(L334*K334,2)</f>
        <v>0</v>
      </c>
    </row>
    <row r="335" spans="1:13" x14ac:dyDescent="0.25">
      <c r="A335" s="19"/>
      <c r="B335" s="19"/>
      <c r="C335" s="19"/>
      <c r="D335" s="26"/>
      <c r="E335" s="19"/>
      <c r="F335" s="19"/>
      <c r="G335" s="19"/>
      <c r="H335" s="19"/>
      <c r="I335" s="19"/>
      <c r="J335" s="19"/>
      <c r="K335" s="19"/>
      <c r="L335" s="19"/>
      <c r="M335" s="19"/>
    </row>
    <row r="336" spans="1:13" x14ac:dyDescent="0.25">
      <c r="A336" s="12" t="s">
        <v>305</v>
      </c>
      <c r="B336" s="12" t="s">
        <v>17</v>
      </c>
      <c r="C336" s="12" t="s">
        <v>18</v>
      </c>
      <c r="D336" s="24" t="s">
        <v>306</v>
      </c>
      <c r="E336" s="13"/>
      <c r="F336" s="13"/>
      <c r="G336" s="13"/>
      <c r="H336" s="13"/>
      <c r="I336" s="13"/>
      <c r="J336" s="13"/>
      <c r="K336" s="10">
        <f>K443</f>
        <v>1</v>
      </c>
      <c r="L336" s="10">
        <f>L443</f>
        <v>0</v>
      </c>
      <c r="M336" s="10">
        <f>M443</f>
        <v>0</v>
      </c>
    </row>
    <row r="337" spans="1:13" x14ac:dyDescent="0.25">
      <c r="A337" s="11"/>
      <c r="B337" s="11"/>
      <c r="C337" s="11"/>
      <c r="D337" s="16"/>
      <c r="E337" s="11"/>
      <c r="F337" s="11"/>
      <c r="G337" s="11"/>
      <c r="H337" s="11"/>
      <c r="I337" s="11"/>
      <c r="J337" s="11"/>
      <c r="K337" s="11"/>
      <c r="L337" s="11"/>
      <c r="M337" s="11"/>
    </row>
    <row r="338" spans="1:13" x14ac:dyDescent="0.25">
      <c r="A338" s="14" t="s">
        <v>307</v>
      </c>
      <c r="B338" s="14" t="s">
        <v>23</v>
      </c>
      <c r="C338" s="14" t="s">
        <v>24</v>
      </c>
      <c r="D338" s="25" t="s">
        <v>308</v>
      </c>
      <c r="E338" s="11"/>
      <c r="F338" s="11"/>
      <c r="G338" s="11"/>
      <c r="H338" s="11"/>
      <c r="I338" s="11"/>
      <c r="J338" s="11"/>
      <c r="K338" s="15">
        <f>K341</f>
        <v>1</v>
      </c>
      <c r="L338" s="15">
        <f>L341</f>
        <v>0</v>
      </c>
      <c r="M338" s="15">
        <f>M341</f>
        <v>0</v>
      </c>
    </row>
    <row r="339" spans="1:13" ht="33.75" x14ac:dyDescent="0.25">
      <c r="A339" s="11"/>
      <c r="B339" s="11"/>
      <c r="C339" s="11"/>
      <c r="D339" s="16" t="s">
        <v>309</v>
      </c>
      <c r="E339" s="11"/>
      <c r="F339" s="11"/>
      <c r="G339" s="11"/>
      <c r="H339" s="11"/>
      <c r="I339" s="11"/>
      <c r="J339" s="11"/>
      <c r="K339" s="11"/>
      <c r="L339" s="11"/>
      <c r="M339" s="11"/>
    </row>
    <row r="340" spans="1:13" x14ac:dyDescent="0.25">
      <c r="A340" s="11"/>
      <c r="B340" s="11"/>
      <c r="C340" s="11"/>
      <c r="D340" s="16"/>
      <c r="E340" s="14" t="s">
        <v>18</v>
      </c>
      <c r="F340" s="11">
        <v>1</v>
      </c>
      <c r="G340" s="17">
        <v>0</v>
      </c>
      <c r="H340" s="17">
        <v>0</v>
      </c>
      <c r="I340" s="17">
        <v>0</v>
      </c>
      <c r="J340" s="15">
        <f>F340*(G340+ (G340= 0))*(H340+ (H340= 0))*(I340+ (I340= 0))</f>
        <v>1</v>
      </c>
      <c r="K340" s="11"/>
      <c r="L340" s="11"/>
      <c r="M340" s="11"/>
    </row>
    <row r="341" spans="1:13" x14ac:dyDescent="0.25">
      <c r="A341" s="11"/>
      <c r="B341" s="11"/>
      <c r="C341" s="11"/>
      <c r="D341" s="16"/>
      <c r="E341" s="11"/>
      <c r="F341" s="11"/>
      <c r="G341" s="11"/>
      <c r="H341" s="11"/>
      <c r="I341" s="11"/>
      <c r="J341" s="18" t="s">
        <v>310</v>
      </c>
      <c r="K341" s="10">
        <f>SUM(J340:J340)</f>
        <v>1</v>
      </c>
      <c r="L341" s="17">
        <v>0</v>
      </c>
      <c r="M341" s="10">
        <f>ROUND(L341*K341,2)</f>
        <v>0</v>
      </c>
    </row>
    <row r="342" spans="1:13" x14ac:dyDescent="0.25">
      <c r="A342" s="19"/>
      <c r="B342" s="19"/>
      <c r="C342" s="19"/>
      <c r="D342" s="26"/>
      <c r="E342" s="19"/>
      <c r="F342" s="19"/>
      <c r="G342" s="19"/>
      <c r="H342" s="19"/>
      <c r="I342" s="19"/>
      <c r="J342" s="19"/>
      <c r="K342" s="19"/>
      <c r="L342" s="19"/>
      <c r="M342" s="19"/>
    </row>
    <row r="343" spans="1:13" x14ac:dyDescent="0.25">
      <c r="A343" s="14" t="s">
        <v>311</v>
      </c>
      <c r="B343" s="14" t="s">
        <v>23</v>
      </c>
      <c r="C343" s="14" t="s">
        <v>24</v>
      </c>
      <c r="D343" s="25" t="s">
        <v>312</v>
      </c>
      <c r="E343" s="11"/>
      <c r="F343" s="11"/>
      <c r="G343" s="11"/>
      <c r="H343" s="11"/>
      <c r="I343" s="11"/>
      <c r="J343" s="11"/>
      <c r="K343" s="15">
        <f>K346</f>
        <v>1</v>
      </c>
      <c r="L343" s="15">
        <f>L346</f>
        <v>0</v>
      </c>
      <c r="M343" s="15">
        <f>M346</f>
        <v>0</v>
      </c>
    </row>
    <row r="344" spans="1:13" ht="202.5" x14ac:dyDescent="0.25">
      <c r="A344" s="11"/>
      <c r="B344" s="11"/>
      <c r="C344" s="11"/>
      <c r="D344" s="16" t="s">
        <v>313</v>
      </c>
      <c r="E344" s="11"/>
      <c r="F344" s="11"/>
      <c r="G344" s="11"/>
      <c r="H344" s="11"/>
      <c r="I344" s="11"/>
      <c r="J344" s="11"/>
      <c r="K344" s="11"/>
      <c r="L344" s="11"/>
      <c r="M344" s="11"/>
    </row>
    <row r="345" spans="1:13" x14ac:dyDescent="0.25">
      <c r="A345" s="11"/>
      <c r="B345" s="11"/>
      <c r="C345" s="11"/>
      <c r="D345" s="16"/>
      <c r="E345" s="14" t="s">
        <v>18</v>
      </c>
      <c r="F345" s="11">
        <v>1</v>
      </c>
      <c r="G345" s="17">
        <v>0</v>
      </c>
      <c r="H345" s="17">
        <v>0</v>
      </c>
      <c r="I345" s="17">
        <v>0</v>
      </c>
      <c r="J345" s="15">
        <f>F345*(G345+ (G345= 0))*(H345+ (H345= 0))*(I345+ (I345= 0))</f>
        <v>1</v>
      </c>
      <c r="K345" s="11"/>
      <c r="L345" s="11"/>
      <c r="M345" s="11"/>
    </row>
    <row r="346" spans="1:13" x14ac:dyDescent="0.25">
      <c r="A346" s="11"/>
      <c r="B346" s="11"/>
      <c r="C346" s="11"/>
      <c r="D346" s="16"/>
      <c r="E346" s="11"/>
      <c r="F346" s="11"/>
      <c r="G346" s="11"/>
      <c r="H346" s="11"/>
      <c r="I346" s="11"/>
      <c r="J346" s="18" t="s">
        <v>314</v>
      </c>
      <c r="K346" s="10">
        <f>SUM(J345:J345)</f>
        <v>1</v>
      </c>
      <c r="L346" s="17">
        <v>0</v>
      </c>
      <c r="M346" s="10">
        <f>ROUND(L346*K346,2)</f>
        <v>0</v>
      </c>
    </row>
    <row r="347" spans="1:13" x14ac:dyDescent="0.25">
      <c r="A347" s="19"/>
      <c r="B347" s="19"/>
      <c r="C347" s="19"/>
      <c r="D347" s="26"/>
      <c r="E347" s="19"/>
      <c r="F347" s="19"/>
      <c r="G347" s="19"/>
      <c r="H347" s="19"/>
      <c r="I347" s="19"/>
      <c r="J347" s="19"/>
      <c r="K347" s="19"/>
      <c r="L347" s="19"/>
      <c r="M347" s="19"/>
    </row>
    <row r="348" spans="1:13" x14ac:dyDescent="0.25">
      <c r="A348" s="14" t="s">
        <v>315</v>
      </c>
      <c r="B348" s="14" t="s">
        <v>23</v>
      </c>
      <c r="C348" s="14" t="s">
        <v>24</v>
      </c>
      <c r="D348" s="25" t="s">
        <v>316</v>
      </c>
      <c r="E348" s="11"/>
      <c r="F348" s="11"/>
      <c r="G348" s="11"/>
      <c r="H348" s="11"/>
      <c r="I348" s="11"/>
      <c r="J348" s="11"/>
      <c r="K348" s="15">
        <f>K351</f>
        <v>1</v>
      </c>
      <c r="L348" s="15">
        <f>L351</f>
        <v>0</v>
      </c>
      <c r="M348" s="15">
        <f>M351</f>
        <v>0</v>
      </c>
    </row>
    <row r="349" spans="1:13" ht="78.75" x14ac:dyDescent="0.25">
      <c r="A349" s="11"/>
      <c r="B349" s="11"/>
      <c r="C349" s="11"/>
      <c r="D349" s="16" t="s">
        <v>317</v>
      </c>
      <c r="E349" s="11"/>
      <c r="F349" s="11"/>
      <c r="G349" s="11"/>
      <c r="H349" s="11"/>
      <c r="I349" s="11"/>
      <c r="J349" s="11"/>
      <c r="K349" s="11"/>
      <c r="L349" s="11"/>
      <c r="M349" s="11"/>
    </row>
    <row r="350" spans="1:13" x14ac:dyDescent="0.25">
      <c r="A350" s="11"/>
      <c r="B350" s="11"/>
      <c r="C350" s="11"/>
      <c r="D350" s="16"/>
      <c r="E350" s="14" t="s">
        <v>18</v>
      </c>
      <c r="F350" s="11">
        <v>1</v>
      </c>
      <c r="G350" s="17">
        <v>0</v>
      </c>
      <c r="H350" s="17">
        <v>0</v>
      </c>
      <c r="I350" s="17">
        <v>0</v>
      </c>
      <c r="J350" s="15">
        <f>F350*(G350+ (G350= 0))*(H350+ (H350= 0))*(I350+ (I350= 0))</f>
        <v>1</v>
      </c>
      <c r="K350" s="11"/>
      <c r="L350" s="11"/>
      <c r="M350" s="11"/>
    </row>
    <row r="351" spans="1:13" x14ac:dyDescent="0.25">
      <c r="A351" s="11"/>
      <c r="B351" s="11"/>
      <c r="C351" s="11"/>
      <c r="D351" s="16"/>
      <c r="E351" s="11"/>
      <c r="F351" s="11"/>
      <c r="G351" s="11"/>
      <c r="H351" s="11"/>
      <c r="I351" s="11"/>
      <c r="J351" s="18" t="s">
        <v>318</v>
      </c>
      <c r="K351" s="10">
        <f>SUM(J350:J350)</f>
        <v>1</v>
      </c>
      <c r="L351" s="17">
        <v>0</v>
      </c>
      <c r="M351" s="10">
        <f>ROUND(L351*K351,2)</f>
        <v>0</v>
      </c>
    </row>
    <row r="352" spans="1:13" x14ac:dyDescent="0.25">
      <c r="A352" s="19"/>
      <c r="B352" s="19"/>
      <c r="C352" s="19"/>
      <c r="D352" s="26"/>
      <c r="E352" s="19"/>
      <c r="F352" s="19"/>
      <c r="G352" s="19"/>
      <c r="H352" s="19"/>
      <c r="I352" s="19"/>
      <c r="J352" s="19"/>
      <c r="K352" s="19"/>
      <c r="L352" s="19"/>
      <c r="M352" s="19"/>
    </row>
    <row r="353" spans="1:13" x14ac:dyDescent="0.25">
      <c r="A353" s="14" t="s">
        <v>319</v>
      </c>
      <c r="B353" s="14" t="s">
        <v>23</v>
      </c>
      <c r="C353" s="14" t="s">
        <v>24</v>
      </c>
      <c r="D353" s="25" t="s">
        <v>320</v>
      </c>
      <c r="E353" s="11"/>
      <c r="F353" s="11"/>
      <c r="G353" s="11"/>
      <c r="H353" s="11"/>
      <c r="I353" s="11"/>
      <c r="J353" s="11"/>
      <c r="K353" s="15">
        <f>K356</f>
        <v>3</v>
      </c>
      <c r="L353" s="15">
        <f>L356</f>
        <v>0</v>
      </c>
      <c r="M353" s="15">
        <f>M356</f>
        <v>0</v>
      </c>
    </row>
    <row r="354" spans="1:13" ht="90" x14ac:dyDescent="0.25">
      <c r="A354" s="11"/>
      <c r="B354" s="11"/>
      <c r="C354" s="11"/>
      <c r="D354" s="16" t="s">
        <v>321</v>
      </c>
      <c r="E354" s="11"/>
      <c r="F354" s="11"/>
      <c r="G354" s="11"/>
      <c r="H354" s="11"/>
      <c r="I354" s="11"/>
      <c r="J354" s="11"/>
      <c r="K354" s="11"/>
      <c r="L354" s="11"/>
      <c r="M354" s="11"/>
    </row>
    <row r="355" spans="1:13" x14ac:dyDescent="0.25">
      <c r="A355" s="11"/>
      <c r="B355" s="11"/>
      <c r="C355" s="11"/>
      <c r="D355" s="16"/>
      <c r="E355" s="14" t="s">
        <v>18</v>
      </c>
      <c r="F355" s="11">
        <v>3</v>
      </c>
      <c r="G355" s="17">
        <v>0</v>
      </c>
      <c r="H355" s="17">
        <v>0</v>
      </c>
      <c r="I355" s="17">
        <v>0</v>
      </c>
      <c r="J355" s="15">
        <f>F355*(G355+ (G355= 0))*(H355+ (H355= 0))*(I355+ (I355= 0))</f>
        <v>3</v>
      </c>
      <c r="K355" s="11"/>
      <c r="L355" s="11"/>
      <c r="M355" s="11"/>
    </row>
    <row r="356" spans="1:13" x14ac:dyDescent="0.25">
      <c r="A356" s="11"/>
      <c r="B356" s="11"/>
      <c r="C356" s="11"/>
      <c r="D356" s="16"/>
      <c r="E356" s="11"/>
      <c r="F356" s="11"/>
      <c r="G356" s="11"/>
      <c r="H356" s="11"/>
      <c r="I356" s="11"/>
      <c r="J356" s="18" t="s">
        <v>322</v>
      </c>
      <c r="K356" s="10">
        <f>SUM(J355:J355)</f>
        <v>3</v>
      </c>
      <c r="L356" s="17">
        <v>0</v>
      </c>
      <c r="M356" s="10">
        <f>ROUND(L356*K356,2)</f>
        <v>0</v>
      </c>
    </row>
    <row r="357" spans="1:13" x14ac:dyDescent="0.25">
      <c r="A357" s="19"/>
      <c r="B357" s="19"/>
      <c r="C357" s="19"/>
      <c r="D357" s="26"/>
      <c r="E357" s="19"/>
      <c r="F357" s="19"/>
      <c r="G357" s="19"/>
      <c r="H357" s="19"/>
      <c r="I357" s="19"/>
      <c r="J357" s="19"/>
      <c r="K357" s="19"/>
      <c r="L357" s="19"/>
      <c r="M357" s="19"/>
    </row>
    <row r="358" spans="1:13" x14ac:dyDescent="0.25">
      <c r="A358" s="14" t="s">
        <v>323</v>
      </c>
      <c r="B358" s="14" t="s">
        <v>23</v>
      </c>
      <c r="C358" s="14" t="s">
        <v>24</v>
      </c>
      <c r="D358" s="25" t="s">
        <v>324</v>
      </c>
      <c r="E358" s="11"/>
      <c r="F358" s="11"/>
      <c r="G358" s="11"/>
      <c r="H358" s="11"/>
      <c r="I358" s="11"/>
      <c r="J358" s="11"/>
      <c r="K358" s="15">
        <f>K361</f>
        <v>1</v>
      </c>
      <c r="L358" s="15">
        <f>L361</f>
        <v>0</v>
      </c>
      <c r="M358" s="15">
        <f>M361</f>
        <v>0</v>
      </c>
    </row>
    <row r="359" spans="1:13" ht="45" x14ac:dyDescent="0.25">
      <c r="A359" s="11"/>
      <c r="B359" s="11"/>
      <c r="C359" s="11"/>
      <c r="D359" s="16" t="s">
        <v>325</v>
      </c>
      <c r="E359" s="11"/>
      <c r="F359" s="11"/>
      <c r="G359" s="11"/>
      <c r="H359" s="11"/>
      <c r="I359" s="11"/>
      <c r="J359" s="11"/>
      <c r="K359" s="11"/>
      <c r="L359" s="11"/>
      <c r="M359" s="11"/>
    </row>
    <row r="360" spans="1:13" x14ac:dyDescent="0.25">
      <c r="A360" s="11"/>
      <c r="B360" s="11"/>
      <c r="C360" s="11"/>
      <c r="D360" s="16"/>
      <c r="E360" s="14" t="s">
        <v>18</v>
      </c>
      <c r="F360" s="11">
        <v>1</v>
      </c>
      <c r="G360" s="17">
        <v>0</v>
      </c>
      <c r="H360" s="17">
        <v>0</v>
      </c>
      <c r="I360" s="17">
        <v>0</v>
      </c>
      <c r="J360" s="15">
        <f>F360*(G360+ (G360= 0))*(H360+ (H360= 0))*(I360+ (I360= 0))</f>
        <v>1</v>
      </c>
      <c r="K360" s="11"/>
      <c r="L360" s="11"/>
      <c r="M360" s="11"/>
    </row>
    <row r="361" spans="1:13" x14ac:dyDescent="0.25">
      <c r="A361" s="11"/>
      <c r="B361" s="11"/>
      <c r="C361" s="11"/>
      <c r="D361" s="16"/>
      <c r="E361" s="11"/>
      <c r="F361" s="11"/>
      <c r="G361" s="11"/>
      <c r="H361" s="11"/>
      <c r="I361" s="11"/>
      <c r="J361" s="18" t="s">
        <v>326</v>
      </c>
      <c r="K361" s="10">
        <f>SUM(J360:J360)</f>
        <v>1</v>
      </c>
      <c r="L361" s="17">
        <v>0</v>
      </c>
      <c r="M361" s="10">
        <f>ROUND(L361*K361,2)</f>
        <v>0</v>
      </c>
    </row>
    <row r="362" spans="1:13" x14ac:dyDescent="0.25">
      <c r="A362" s="19"/>
      <c r="B362" s="19"/>
      <c r="C362" s="19"/>
      <c r="D362" s="26"/>
      <c r="E362" s="19"/>
      <c r="F362" s="19"/>
      <c r="G362" s="19"/>
      <c r="H362" s="19"/>
      <c r="I362" s="19"/>
      <c r="J362" s="19"/>
      <c r="K362" s="19"/>
      <c r="L362" s="19"/>
      <c r="M362" s="19"/>
    </row>
    <row r="363" spans="1:13" x14ac:dyDescent="0.25">
      <c r="A363" s="14" t="s">
        <v>327</v>
      </c>
      <c r="B363" s="14" t="s">
        <v>23</v>
      </c>
      <c r="C363" s="14" t="s">
        <v>24</v>
      </c>
      <c r="D363" s="25" t="s">
        <v>328</v>
      </c>
      <c r="E363" s="11"/>
      <c r="F363" s="11"/>
      <c r="G363" s="11"/>
      <c r="H363" s="11"/>
      <c r="I363" s="11"/>
      <c r="J363" s="11"/>
      <c r="K363" s="15">
        <f>K366</f>
        <v>1</v>
      </c>
      <c r="L363" s="15">
        <f>L366</f>
        <v>0</v>
      </c>
      <c r="M363" s="15">
        <f>M366</f>
        <v>0</v>
      </c>
    </row>
    <row r="364" spans="1:13" ht="67.5" x14ac:dyDescent="0.25">
      <c r="A364" s="11"/>
      <c r="B364" s="11"/>
      <c r="C364" s="11"/>
      <c r="D364" s="16" t="s">
        <v>329</v>
      </c>
      <c r="E364" s="11"/>
      <c r="F364" s="11"/>
      <c r="G364" s="11"/>
      <c r="H364" s="11"/>
      <c r="I364" s="11"/>
      <c r="J364" s="11"/>
      <c r="K364" s="11"/>
      <c r="L364" s="11"/>
      <c r="M364" s="11"/>
    </row>
    <row r="365" spans="1:13" x14ac:dyDescent="0.25">
      <c r="A365" s="11"/>
      <c r="B365" s="11"/>
      <c r="C365" s="11"/>
      <c r="D365" s="16"/>
      <c r="E365" s="14" t="s">
        <v>18</v>
      </c>
      <c r="F365" s="11">
        <v>1</v>
      </c>
      <c r="G365" s="17">
        <v>0</v>
      </c>
      <c r="H365" s="17">
        <v>0</v>
      </c>
      <c r="I365" s="17">
        <v>0</v>
      </c>
      <c r="J365" s="15">
        <f>F365*(G365+ (G365= 0))*(H365+ (H365= 0))*(I365+ (I365= 0))</f>
        <v>1</v>
      </c>
      <c r="K365" s="11"/>
      <c r="L365" s="11"/>
      <c r="M365" s="11"/>
    </row>
    <row r="366" spans="1:13" x14ac:dyDescent="0.25">
      <c r="A366" s="11"/>
      <c r="B366" s="11"/>
      <c r="C366" s="11"/>
      <c r="D366" s="16"/>
      <c r="E366" s="11"/>
      <c r="F366" s="11"/>
      <c r="G366" s="11"/>
      <c r="H366" s="11"/>
      <c r="I366" s="11"/>
      <c r="J366" s="18" t="s">
        <v>330</v>
      </c>
      <c r="K366" s="10">
        <f>SUM(J365:J365)</f>
        <v>1</v>
      </c>
      <c r="L366" s="17">
        <v>0</v>
      </c>
      <c r="M366" s="10">
        <f>ROUND(L366*K366,2)</f>
        <v>0</v>
      </c>
    </row>
    <row r="367" spans="1:13" x14ac:dyDescent="0.25">
      <c r="A367" s="19"/>
      <c r="B367" s="19"/>
      <c r="C367" s="19"/>
      <c r="D367" s="26"/>
      <c r="E367" s="19"/>
      <c r="F367" s="19"/>
      <c r="G367" s="19"/>
      <c r="H367" s="19"/>
      <c r="I367" s="19"/>
      <c r="J367" s="19"/>
      <c r="K367" s="19"/>
      <c r="L367" s="19"/>
      <c r="M367" s="19"/>
    </row>
    <row r="368" spans="1:13" x14ac:dyDescent="0.25">
      <c r="A368" s="14" t="s">
        <v>331</v>
      </c>
      <c r="B368" s="14" t="s">
        <v>23</v>
      </c>
      <c r="C368" s="14" t="s">
        <v>297</v>
      </c>
      <c r="D368" s="25" t="s">
        <v>332</v>
      </c>
      <c r="E368" s="11"/>
      <c r="F368" s="11"/>
      <c r="G368" s="11"/>
      <c r="H368" s="11"/>
      <c r="I368" s="11"/>
      <c r="J368" s="11"/>
      <c r="K368" s="15">
        <f>K371</f>
        <v>45</v>
      </c>
      <c r="L368" s="15">
        <f>L371</f>
        <v>0</v>
      </c>
      <c r="M368" s="15">
        <f>M371</f>
        <v>0</v>
      </c>
    </row>
    <row r="369" spans="1:13" ht="45" x14ac:dyDescent="0.25">
      <c r="A369" s="11"/>
      <c r="B369" s="11"/>
      <c r="C369" s="11"/>
      <c r="D369" s="16" t="s">
        <v>333</v>
      </c>
      <c r="E369" s="11"/>
      <c r="F369" s="11"/>
      <c r="G369" s="11"/>
      <c r="H369" s="11"/>
      <c r="I369" s="11"/>
      <c r="J369" s="11"/>
      <c r="K369" s="11"/>
      <c r="L369" s="11"/>
      <c r="M369" s="11"/>
    </row>
    <row r="370" spans="1:13" x14ac:dyDescent="0.25">
      <c r="A370" s="11"/>
      <c r="B370" s="11"/>
      <c r="C370" s="11"/>
      <c r="D370" s="16"/>
      <c r="E370" s="14" t="s">
        <v>18</v>
      </c>
      <c r="F370" s="11">
        <v>3</v>
      </c>
      <c r="G370" s="17">
        <v>15</v>
      </c>
      <c r="H370" s="17">
        <v>0</v>
      </c>
      <c r="I370" s="17">
        <v>0</v>
      </c>
      <c r="J370" s="15">
        <f>F370*(G370+ (G370= 0))*(H370+ (H370= 0))*(I370+ (I370= 0))</f>
        <v>45</v>
      </c>
      <c r="K370" s="11"/>
      <c r="L370" s="11"/>
      <c r="M370" s="11"/>
    </row>
    <row r="371" spans="1:13" x14ac:dyDescent="0.25">
      <c r="A371" s="11"/>
      <c r="B371" s="11"/>
      <c r="C371" s="11"/>
      <c r="D371" s="16"/>
      <c r="E371" s="11"/>
      <c r="F371" s="11"/>
      <c r="G371" s="11"/>
      <c r="H371" s="11"/>
      <c r="I371" s="11"/>
      <c r="J371" s="18" t="s">
        <v>334</v>
      </c>
      <c r="K371" s="10">
        <f>SUM(J370:J370)</f>
        <v>45</v>
      </c>
      <c r="L371" s="17">
        <v>0</v>
      </c>
      <c r="M371" s="10">
        <f>ROUND(L371*K371,2)</f>
        <v>0</v>
      </c>
    </row>
    <row r="372" spans="1:13" x14ac:dyDescent="0.25">
      <c r="A372" s="19"/>
      <c r="B372" s="19"/>
      <c r="C372" s="19"/>
      <c r="D372" s="26"/>
      <c r="E372" s="19"/>
      <c r="F372" s="19"/>
      <c r="G372" s="19"/>
      <c r="H372" s="19"/>
      <c r="I372" s="19"/>
      <c r="J372" s="19"/>
      <c r="K372" s="19"/>
      <c r="L372" s="19"/>
      <c r="M372" s="19"/>
    </row>
    <row r="373" spans="1:13" x14ac:dyDescent="0.25">
      <c r="A373" s="14" t="s">
        <v>335</v>
      </c>
      <c r="B373" s="14" t="s">
        <v>23</v>
      </c>
      <c r="C373" s="14" t="s">
        <v>337</v>
      </c>
      <c r="D373" s="25" t="s">
        <v>336</v>
      </c>
      <c r="E373" s="11"/>
      <c r="F373" s="11"/>
      <c r="G373" s="11"/>
      <c r="H373" s="11"/>
      <c r="I373" s="11"/>
      <c r="J373" s="11"/>
      <c r="K373" s="15">
        <f>K376</f>
        <v>45</v>
      </c>
      <c r="L373" s="15">
        <f>L376</f>
        <v>0</v>
      </c>
      <c r="M373" s="15">
        <f>M376</f>
        <v>0</v>
      </c>
    </row>
    <row r="374" spans="1:13" ht="56.25" x14ac:dyDescent="0.25">
      <c r="A374" s="11"/>
      <c r="B374" s="11"/>
      <c r="C374" s="11"/>
      <c r="D374" s="16" t="s">
        <v>338</v>
      </c>
      <c r="E374" s="11"/>
      <c r="F374" s="11"/>
      <c r="G374" s="11"/>
      <c r="H374" s="11"/>
      <c r="I374" s="11"/>
      <c r="J374" s="11"/>
      <c r="K374" s="11"/>
      <c r="L374" s="11"/>
      <c r="M374" s="11"/>
    </row>
    <row r="375" spans="1:13" x14ac:dyDescent="0.25">
      <c r="A375" s="11"/>
      <c r="B375" s="11"/>
      <c r="C375" s="11"/>
      <c r="D375" s="16"/>
      <c r="E375" s="14" t="s">
        <v>339</v>
      </c>
      <c r="F375" s="11">
        <v>3</v>
      </c>
      <c r="G375" s="17">
        <v>15</v>
      </c>
      <c r="H375" s="17">
        <v>0</v>
      </c>
      <c r="I375" s="17">
        <v>0</v>
      </c>
      <c r="J375" s="15">
        <f>F375*(G375+ (G375= 0))*(H375+ (H375= 0))*(I375+ (I375= 0))</f>
        <v>45</v>
      </c>
      <c r="K375" s="11"/>
      <c r="L375" s="11"/>
      <c r="M375" s="11"/>
    </row>
    <row r="376" spans="1:13" x14ac:dyDescent="0.25">
      <c r="A376" s="11"/>
      <c r="B376" s="11"/>
      <c r="C376" s="11"/>
      <c r="D376" s="16"/>
      <c r="E376" s="11"/>
      <c r="F376" s="11"/>
      <c r="G376" s="11"/>
      <c r="H376" s="11"/>
      <c r="I376" s="11"/>
      <c r="J376" s="18" t="s">
        <v>340</v>
      </c>
      <c r="K376" s="10">
        <f>SUM(J375:J375)</f>
        <v>45</v>
      </c>
      <c r="L376" s="17">
        <v>0</v>
      </c>
      <c r="M376" s="20">
        <f>ROUND(L376*K376,2)</f>
        <v>0</v>
      </c>
    </row>
    <row r="377" spans="1:13" x14ac:dyDescent="0.25">
      <c r="A377" s="19"/>
      <c r="B377" s="19"/>
      <c r="C377" s="19"/>
      <c r="D377" s="26"/>
      <c r="E377" s="19"/>
      <c r="F377" s="19"/>
      <c r="G377" s="19"/>
      <c r="H377" s="19"/>
      <c r="I377" s="19"/>
      <c r="J377" s="19"/>
      <c r="K377" s="19"/>
      <c r="L377" s="19"/>
      <c r="M377" s="19"/>
    </row>
    <row r="378" spans="1:13" x14ac:dyDescent="0.25">
      <c r="A378" s="14" t="s">
        <v>341</v>
      </c>
      <c r="B378" s="14" t="s">
        <v>23</v>
      </c>
      <c r="C378" s="14" t="s">
        <v>337</v>
      </c>
      <c r="D378" s="25" t="s">
        <v>342</v>
      </c>
      <c r="E378" s="11"/>
      <c r="F378" s="11"/>
      <c r="G378" s="11"/>
      <c r="H378" s="11"/>
      <c r="I378" s="11"/>
      <c r="J378" s="11"/>
      <c r="K378" s="15">
        <f>K381</f>
        <v>15</v>
      </c>
      <c r="L378" s="15">
        <f>L381</f>
        <v>0</v>
      </c>
      <c r="M378" s="15">
        <f>M381</f>
        <v>0</v>
      </c>
    </row>
    <row r="379" spans="1:13" ht="67.5" x14ac:dyDescent="0.25">
      <c r="A379" s="11"/>
      <c r="B379" s="11"/>
      <c r="C379" s="11"/>
      <c r="D379" s="16" t="s">
        <v>343</v>
      </c>
      <c r="E379" s="11"/>
      <c r="F379" s="11"/>
      <c r="G379" s="11"/>
      <c r="H379" s="11"/>
      <c r="I379" s="11"/>
      <c r="J379" s="11"/>
      <c r="K379" s="11"/>
      <c r="L379" s="11"/>
      <c r="M379" s="11"/>
    </row>
    <row r="380" spans="1:13" x14ac:dyDescent="0.25">
      <c r="A380" s="11"/>
      <c r="B380" s="11"/>
      <c r="C380" s="11"/>
      <c r="D380" s="16"/>
      <c r="E380" s="14" t="s">
        <v>339</v>
      </c>
      <c r="F380" s="11">
        <v>3</v>
      </c>
      <c r="G380" s="17">
        <v>5</v>
      </c>
      <c r="H380" s="17">
        <v>0</v>
      </c>
      <c r="I380" s="17">
        <v>0</v>
      </c>
      <c r="J380" s="15">
        <f>F380*(G380+ (G380= 0))*(H380+ (H380= 0))*(I380+ (I380= 0))</f>
        <v>15</v>
      </c>
      <c r="K380" s="11"/>
      <c r="L380" s="11"/>
      <c r="M380" s="11"/>
    </row>
    <row r="381" spans="1:13" x14ac:dyDescent="0.25">
      <c r="A381" s="11"/>
      <c r="B381" s="11"/>
      <c r="C381" s="11"/>
      <c r="D381" s="16"/>
      <c r="E381" s="11"/>
      <c r="F381" s="11"/>
      <c r="G381" s="11"/>
      <c r="H381" s="11"/>
      <c r="I381" s="11"/>
      <c r="J381" s="18" t="s">
        <v>344</v>
      </c>
      <c r="K381" s="10">
        <f>SUM(J380:J380)</f>
        <v>15</v>
      </c>
      <c r="L381" s="17">
        <v>0</v>
      </c>
      <c r="M381" s="20">
        <f>ROUND(L381*K381,2)</f>
        <v>0</v>
      </c>
    </row>
    <row r="382" spans="1:13" x14ac:dyDescent="0.25">
      <c r="A382" s="19"/>
      <c r="B382" s="19"/>
      <c r="C382" s="19"/>
      <c r="D382" s="26"/>
      <c r="E382" s="19"/>
      <c r="F382" s="19"/>
      <c r="G382" s="19"/>
      <c r="H382" s="19"/>
      <c r="I382" s="19"/>
      <c r="J382" s="19"/>
      <c r="K382" s="19"/>
      <c r="L382" s="19"/>
      <c r="M382" s="19"/>
    </row>
    <row r="383" spans="1:13" x14ac:dyDescent="0.25">
      <c r="A383" s="14" t="s">
        <v>345</v>
      </c>
      <c r="B383" s="14" t="s">
        <v>23</v>
      </c>
      <c r="C383" s="14" t="s">
        <v>24</v>
      </c>
      <c r="D383" s="25" t="s">
        <v>346</v>
      </c>
      <c r="E383" s="11"/>
      <c r="F383" s="11"/>
      <c r="G383" s="11"/>
      <c r="H383" s="11"/>
      <c r="I383" s="11"/>
      <c r="J383" s="11"/>
      <c r="K383" s="15">
        <f>K386</f>
        <v>3</v>
      </c>
      <c r="L383" s="15">
        <f>L386</f>
        <v>0</v>
      </c>
      <c r="M383" s="15">
        <f>M386</f>
        <v>0</v>
      </c>
    </row>
    <row r="384" spans="1:13" ht="45" x14ac:dyDescent="0.25">
      <c r="A384" s="11"/>
      <c r="B384" s="11"/>
      <c r="C384" s="11"/>
      <c r="D384" s="16" t="s">
        <v>347</v>
      </c>
      <c r="E384" s="11"/>
      <c r="F384" s="11"/>
      <c r="G384" s="11"/>
      <c r="H384" s="11"/>
      <c r="I384" s="11"/>
      <c r="J384" s="11"/>
      <c r="K384" s="11"/>
      <c r="L384" s="11"/>
      <c r="M384" s="11"/>
    </row>
    <row r="385" spans="1:13" x14ac:dyDescent="0.25">
      <c r="A385" s="11"/>
      <c r="B385" s="11"/>
      <c r="C385" s="11"/>
      <c r="D385" s="16"/>
      <c r="E385" s="14" t="s">
        <v>18</v>
      </c>
      <c r="F385" s="11">
        <v>3</v>
      </c>
      <c r="G385" s="17">
        <v>0</v>
      </c>
      <c r="H385" s="17">
        <v>0</v>
      </c>
      <c r="I385" s="17">
        <v>0</v>
      </c>
      <c r="J385" s="15">
        <f>F385*(G385+ (G385= 0))*(H385+ (H385= 0))*(I385+ (I385= 0))</f>
        <v>3</v>
      </c>
      <c r="K385" s="11"/>
      <c r="L385" s="11"/>
      <c r="M385" s="11"/>
    </row>
    <row r="386" spans="1:13" x14ac:dyDescent="0.25">
      <c r="A386" s="11"/>
      <c r="B386" s="11"/>
      <c r="C386" s="11"/>
      <c r="D386" s="16"/>
      <c r="E386" s="11"/>
      <c r="F386" s="11"/>
      <c r="G386" s="11"/>
      <c r="H386" s="11"/>
      <c r="I386" s="11"/>
      <c r="J386" s="18" t="s">
        <v>348</v>
      </c>
      <c r="K386" s="10">
        <f>SUM(J385:J385)</f>
        <v>3</v>
      </c>
      <c r="L386" s="17">
        <v>0</v>
      </c>
      <c r="M386" s="10">
        <f>ROUND(L386*K386,2)</f>
        <v>0</v>
      </c>
    </row>
    <row r="387" spans="1:13" x14ac:dyDescent="0.25">
      <c r="A387" s="19"/>
      <c r="B387" s="19"/>
      <c r="C387" s="19"/>
      <c r="D387" s="26"/>
      <c r="E387" s="19"/>
      <c r="F387" s="19"/>
      <c r="G387" s="19"/>
      <c r="H387" s="19"/>
      <c r="I387" s="19"/>
      <c r="J387" s="19"/>
      <c r="K387" s="19"/>
      <c r="L387" s="19"/>
      <c r="M387" s="19"/>
    </row>
    <row r="388" spans="1:13" x14ac:dyDescent="0.25">
      <c r="A388" s="14" t="s">
        <v>349</v>
      </c>
      <c r="B388" s="14" t="s">
        <v>23</v>
      </c>
      <c r="C388" s="14" t="s">
        <v>337</v>
      </c>
      <c r="D388" s="25" t="s">
        <v>350</v>
      </c>
      <c r="E388" s="11"/>
      <c r="F388" s="11"/>
      <c r="G388" s="11"/>
      <c r="H388" s="11"/>
      <c r="I388" s="11"/>
      <c r="J388" s="11"/>
      <c r="K388" s="15">
        <f>K392</f>
        <v>33</v>
      </c>
      <c r="L388" s="15">
        <f>L392</f>
        <v>0</v>
      </c>
      <c r="M388" s="15">
        <f>M392</f>
        <v>0</v>
      </c>
    </row>
    <row r="389" spans="1:13" ht="56.25" x14ac:dyDescent="0.25">
      <c r="A389" s="11"/>
      <c r="B389" s="11"/>
      <c r="C389" s="11"/>
      <c r="D389" s="16" t="s">
        <v>351</v>
      </c>
      <c r="E389" s="11"/>
      <c r="F389" s="11"/>
      <c r="G389" s="11"/>
      <c r="H389" s="11"/>
      <c r="I389" s="11"/>
      <c r="J389" s="11"/>
      <c r="K389" s="11"/>
      <c r="L389" s="11"/>
      <c r="M389" s="11"/>
    </row>
    <row r="390" spans="1:13" x14ac:dyDescent="0.25">
      <c r="A390" s="11"/>
      <c r="B390" s="11"/>
      <c r="C390" s="11"/>
      <c r="D390" s="16"/>
      <c r="E390" s="14" t="s">
        <v>352</v>
      </c>
      <c r="F390" s="11">
        <v>5</v>
      </c>
      <c r="G390" s="17">
        <v>0</v>
      </c>
      <c r="H390" s="17">
        <v>0</v>
      </c>
      <c r="I390" s="17">
        <v>0</v>
      </c>
      <c r="J390" s="15">
        <f>F390*(G390+ (G390= 0))*(H390+ (H390= 0))*(I390+ (I390= 0))</f>
        <v>5</v>
      </c>
      <c r="K390" s="11"/>
      <c r="L390" s="11"/>
      <c r="M390" s="11"/>
    </row>
    <row r="391" spans="1:13" x14ac:dyDescent="0.25">
      <c r="A391" s="11"/>
      <c r="B391" s="11"/>
      <c r="C391" s="11"/>
      <c r="D391" s="16"/>
      <c r="E391" s="14" t="s">
        <v>353</v>
      </c>
      <c r="F391" s="11">
        <v>28</v>
      </c>
      <c r="G391" s="17">
        <v>0</v>
      </c>
      <c r="H391" s="17">
        <v>0</v>
      </c>
      <c r="I391" s="17">
        <v>0</v>
      </c>
      <c r="J391" s="15">
        <f>F391*(G391+ (G391= 0))*(H391+ (H391= 0))*(I391+ (I391= 0))</f>
        <v>28</v>
      </c>
      <c r="K391" s="11"/>
      <c r="L391" s="11"/>
      <c r="M391" s="11"/>
    </row>
    <row r="392" spans="1:13" x14ac:dyDescent="0.25">
      <c r="A392" s="11"/>
      <c r="B392" s="11"/>
      <c r="C392" s="11"/>
      <c r="D392" s="16"/>
      <c r="E392" s="11"/>
      <c r="F392" s="11"/>
      <c r="G392" s="11"/>
      <c r="H392" s="11"/>
      <c r="I392" s="11"/>
      <c r="J392" s="18" t="s">
        <v>354</v>
      </c>
      <c r="K392" s="10">
        <f>SUM(J390:J391)</f>
        <v>33</v>
      </c>
      <c r="L392" s="17">
        <v>0</v>
      </c>
      <c r="M392" s="10">
        <f>ROUND(L392*K392,2)</f>
        <v>0</v>
      </c>
    </row>
    <row r="393" spans="1:13" x14ac:dyDescent="0.25">
      <c r="A393" s="19"/>
      <c r="B393" s="19"/>
      <c r="C393" s="19"/>
      <c r="D393" s="26"/>
      <c r="E393" s="19"/>
      <c r="F393" s="19"/>
      <c r="G393" s="19"/>
      <c r="H393" s="19"/>
      <c r="I393" s="19"/>
      <c r="J393" s="19"/>
      <c r="K393" s="19"/>
      <c r="L393" s="19"/>
      <c r="M393" s="19"/>
    </row>
    <row r="394" spans="1:13" x14ac:dyDescent="0.25">
      <c r="A394" s="14" t="s">
        <v>355</v>
      </c>
      <c r="B394" s="14" t="s">
        <v>23</v>
      </c>
      <c r="C394" s="14" t="s">
        <v>337</v>
      </c>
      <c r="D394" s="25" t="s">
        <v>356</v>
      </c>
      <c r="E394" s="11"/>
      <c r="F394" s="11"/>
      <c r="G394" s="11"/>
      <c r="H394" s="11"/>
      <c r="I394" s="11"/>
      <c r="J394" s="11"/>
      <c r="K394" s="15">
        <f>K400</f>
        <v>61</v>
      </c>
      <c r="L394" s="15">
        <f>L400</f>
        <v>0</v>
      </c>
      <c r="M394" s="15">
        <f>M400</f>
        <v>0</v>
      </c>
    </row>
    <row r="395" spans="1:13" ht="56.25" x14ac:dyDescent="0.25">
      <c r="A395" s="11"/>
      <c r="B395" s="11"/>
      <c r="C395" s="11"/>
      <c r="D395" s="16" t="s">
        <v>357</v>
      </c>
      <c r="E395" s="11"/>
      <c r="F395" s="11"/>
      <c r="G395" s="11"/>
      <c r="H395" s="11"/>
      <c r="I395" s="11"/>
      <c r="J395" s="11"/>
      <c r="K395" s="11"/>
      <c r="L395" s="11"/>
      <c r="M395" s="11"/>
    </row>
    <row r="396" spans="1:13" x14ac:dyDescent="0.25">
      <c r="A396" s="11"/>
      <c r="B396" s="11"/>
      <c r="C396" s="11"/>
      <c r="D396" s="16"/>
      <c r="E396" s="14" t="s">
        <v>358</v>
      </c>
      <c r="F396" s="11">
        <v>1</v>
      </c>
      <c r="G396" s="17">
        <v>15</v>
      </c>
      <c r="H396" s="17">
        <v>0</v>
      </c>
      <c r="I396" s="17">
        <v>0</v>
      </c>
      <c r="J396" s="15">
        <f>F396*(G396+ (G396= 0))*(H396+ (H396= 0))*(I396+ (I396= 0))</f>
        <v>15</v>
      </c>
      <c r="K396" s="11"/>
      <c r="L396" s="11"/>
      <c r="M396" s="11"/>
    </row>
    <row r="397" spans="1:13" x14ac:dyDescent="0.25">
      <c r="A397" s="11"/>
      <c r="B397" s="11"/>
      <c r="C397" s="11"/>
      <c r="D397" s="16"/>
      <c r="E397" s="14" t="s">
        <v>359</v>
      </c>
      <c r="F397" s="11">
        <v>1</v>
      </c>
      <c r="G397" s="17">
        <v>10</v>
      </c>
      <c r="H397" s="17">
        <v>0</v>
      </c>
      <c r="I397" s="17">
        <v>0</v>
      </c>
      <c r="J397" s="15">
        <f>F397*(G397+ (G397= 0))*(H397+ (H397= 0))*(I397+ (I397= 0))</f>
        <v>10</v>
      </c>
      <c r="K397" s="11"/>
      <c r="L397" s="11"/>
      <c r="M397" s="11"/>
    </row>
    <row r="398" spans="1:13" x14ac:dyDescent="0.25">
      <c r="A398" s="11"/>
      <c r="B398" s="11"/>
      <c r="C398" s="11"/>
      <c r="D398" s="16"/>
      <c r="E398" s="14" t="s">
        <v>360</v>
      </c>
      <c r="F398" s="11">
        <v>1</v>
      </c>
      <c r="G398" s="17">
        <v>12</v>
      </c>
      <c r="H398" s="17">
        <v>0</v>
      </c>
      <c r="I398" s="17">
        <v>0</v>
      </c>
      <c r="J398" s="15">
        <f>F398*(G398+ (G398= 0))*(H398+ (H398= 0))*(I398+ (I398= 0))</f>
        <v>12</v>
      </c>
      <c r="K398" s="11"/>
      <c r="L398" s="11"/>
      <c r="M398" s="11"/>
    </row>
    <row r="399" spans="1:13" x14ac:dyDescent="0.25">
      <c r="A399" s="11"/>
      <c r="B399" s="11"/>
      <c r="C399" s="11"/>
      <c r="D399" s="16"/>
      <c r="E399" s="14" t="s">
        <v>361</v>
      </c>
      <c r="F399" s="11">
        <v>2</v>
      </c>
      <c r="G399" s="17">
        <v>12</v>
      </c>
      <c r="H399" s="17">
        <v>0</v>
      </c>
      <c r="I399" s="17">
        <v>0</v>
      </c>
      <c r="J399" s="15">
        <f>F399*(G399+ (G399= 0))*(H399+ (H399= 0))*(I399+ (I399= 0))</f>
        <v>24</v>
      </c>
      <c r="K399" s="11"/>
      <c r="L399" s="11"/>
      <c r="M399" s="11"/>
    </row>
    <row r="400" spans="1:13" x14ac:dyDescent="0.25">
      <c r="A400" s="11"/>
      <c r="B400" s="11"/>
      <c r="C400" s="11"/>
      <c r="D400" s="16"/>
      <c r="E400" s="11"/>
      <c r="F400" s="11"/>
      <c r="G400" s="11"/>
      <c r="H400" s="11"/>
      <c r="I400" s="11"/>
      <c r="J400" s="18" t="s">
        <v>362</v>
      </c>
      <c r="K400" s="10">
        <f>SUM(J396:J399)</f>
        <v>61</v>
      </c>
      <c r="L400" s="17">
        <v>0</v>
      </c>
      <c r="M400" s="10">
        <f>ROUND(L400*K400,2)</f>
        <v>0</v>
      </c>
    </row>
    <row r="401" spans="1:13" x14ac:dyDescent="0.25">
      <c r="A401" s="19"/>
      <c r="B401" s="19"/>
      <c r="C401" s="19"/>
      <c r="D401" s="26"/>
      <c r="E401" s="19"/>
      <c r="F401" s="19"/>
      <c r="G401" s="19"/>
      <c r="H401" s="19"/>
      <c r="I401" s="19"/>
      <c r="J401" s="19"/>
      <c r="K401" s="19"/>
      <c r="L401" s="19"/>
      <c r="M401" s="19"/>
    </row>
    <row r="402" spans="1:13" x14ac:dyDescent="0.25">
      <c r="A402" s="14" t="s">
        <v>363</v>
      </c>
      <c r="B402" s="14" t="s">
        <v>23</v>
      </c>
      <c r="C402" s="14" t="s">
        <v>337</v>
      </c>
      <c r="D402" s="25" t="s">
        <v>364</v>
      </c>
      <c r="E402" s="11"/>
      <c r="F402" s="11"/>
      <c r="G402" s="11"/>
      <c r="H402" s="11"/>
      <c r="I402" s="11"/>
      <c r="J402" s="11"/>
      <c r="K402" s="15">
        <f>K405</f>
        <v>15</v>
      </c>
      <c r="L402" s="15">
        <f>L405</f>
        <v>0</v>
      </c>
      <c r="M402" s="15">
        <f>M405</f>
        <v>0</v>
      </c>
    </row>
    <row r="403" spans="1:13" ht="45" x14ac:dyDescent="0.25">
      <c r="A403" s="11"/>
      <c r="B403" s="11"/>
      <c r="C403" s="11"/>
      <c r="D403" s="16" t="s">
        <v>365</v>
      </c>
      <c r="E403" s="11"/>
      <c r="F403" s="11"/>
      <c r="G403" s="11"/>
      <c r="H403" s="11"/>
      <c r="I403" s="11"/>
      <c r="J403" s="11"/>
      <c r="K403" s="11"/>
      <c r="L403" s="11"/>
      <c r="M403" s="11"/>
    </row>
    <row r="404" spans="1:13" x14ac:dyDescent="0.25">
      <c r="A404" s="11"/>
      <c r="B404" s="11"/>
      <c r="C404" s="11"/>
      <c r="D404" s="16"/>
      <c r="E404" s="14" t="s">
        <v>366</v>
      </c>
      <c r="F404" s="11">
        <v>1</v>
      </c>
      <c r="G404" s="17">
        <v>15</v>
      </c>
      <c r="H404" s="17">
        <v>0</v>
      </c>
      <c r="I404" s="17">
        <v>0</v>
      </c>
      <c r="J404" s="15">
        <f>F404*(G404+ (G404= 0))*(H404+ (H404= 0))*(I404+ (I404= 0))</f>
        <v>15</v>
      </c>
      <c r="K404" s="11"/>
      <c r="L404" s="11"/>
      <c r="M404" s="11"/>
    </row>
    <row r="405" spans="1:13" x14ac:dyDescent="0.25">
      <c r="A405" s="11"/>
      <c r="B405" s="11"/>
      <c r="C405" s="11"/>
      <c r="D405" s="16"/>
      <c r="E405" s="11"/>
      <c r="F405" s="11"/>
      <c r="G405" s="11"/>
      <c r="H405" s="11"/>
      <c r="I405" s="11"/>
      <c r="J405" s="18" t="s">
        <v>367</v>
      </c>
      <c r="K405" s="10">
        <f>SUM(J404:J404)</f>
        <v>15</v>
      </c>
      <c r="L405" s="17">
        <v>0</v>
      </c>
      <c r="M405" s="10">
        <f>ROUND(L405*K405,2)</f>
        <v>0</v>
      </c>
    </row>
    <row r="406" spans="1:13" x14ac:dyDescent="0.25">
      <c r="A406" s="19"/>
      <c r="B406" s="19"/>
      <c r="C406" s="19"/>
      <c r="D406" s="26"/>
      <c r="E406" s="19"/>
      <c r="F406" s="19"/>
      <c r="G406" s="19"/>
      <c r="H406" s="19"/>
      <c r="I406" s="19"/>
      <c r="J406" s="19"/>
      <c r="K406" s="19"/>
      <c r="L406" s="19"/>
      <c r="M406" s="19"/>
    </row>
    <row r="407" spans="1:13" x14ac:dyDescent="0.25">
      <c r="A407" s="14" t="s">
        <v>368</v>
      </c>
      <c r="B407" s="14" t="s">
        <v>23</v>
      </c>
      <c r="C407" s="14" t="s">
        <v>370</v>
      </c>
      <c r="D407" s="25" t="s">
        <v>369</v>
      </c>
      <c r="E407" s="11"/>
      <c r="F407" s="11"/>
      <c r="G407" s="11"/>
      <c r="H407" s="11"/>
      <c r="I407" s="11"/>
      <c r="J407" s="11"/>
      <c r="K407" s="15">
        <f>K410</f>
        <v>1</v>
      </c>
      <c r="L407" s="15">
        <f>L410</f>
        <v>0</v>
      </c>
      <c r="M407" s="15">
        <f>M410</f>
        <v>0</v>
      </c>
    </row>
    <row r="408" spans="1:13" ht="45" x14ac:dyDescent="0.25">
      <c r="A408" s="11"/>
      <c r="B408" s="11"/>
      <c r="C408" s="11"/>
      <c r="D408" s="16" t="s">
        <v>371</v>
      </c>
      <c r="E408" s="11"/>
      <c r="F408" s="11"/>
      <c r="G408" s="11"/>
      <c r="H408" s="11"/>
      <c r="I408" s="11"/>
      <c r="J408" s="11"/>
      <c r="K408" s="11"/>
      <c r="L408" s="11"/>
      <c r="M408" s="11"/>
    </row>
    <row r="409" spans="1:13" x14ac:dyDescent="0.25">
      <c r="A409" s="11"/>
      <c r="B409" s="11"/>
      <c r="C409" s="11"/>
      <c r="D409" s="16"/>
      <c r="E409" s="14" t="s">
        <v>18</v>
      </c>
      <c r="F409" s="11">
        <v>1</v>
      </c>
      <c r="G409" s="17">
        <v>0</v>
      </c>
      <c r="H409" s="17">
        <v>0</v>
      </c>
      <c r="I409" s="17">
        <v>0</v>
      </c>
      <c r="J409" s="15">
        <f>F409*(G409+ (G409= 0))*(H409+ (H409= 0))*(I409+ (I409= 0))</f>
        <v>1</v>
      </c>
      <c r="K409" s="11"/>
      <c r="L409" s="11"/>
      <c r="M409" s="11"/>
    </row>
    <row r="410" spans="1:13" x14ac:dyDescent="0.25">
      <c r="A410" s="11"/>
      <c r="B410" s="11"/>
      <c r="C410" s="11"/>
      <c r="D410" s="16"/>
      <c r="E410" s="11"/>
      <c r="F410" s="11"/>
      <c r="G410" s="11"/>
      <c r="H410" s="11"/>
      <c r="I410" s="11"/>
      <c r="J410" s="18" t="s">
        <v>372</v>
      </c>
      <c r="K410" s="10">
        <f>SUM(J409:J409)</f>
        <v>1</v>
      </c>
      <c r="L410" s="17">
        <v>0</v>
      </c>
      <c r="M410" s="10">
        <f>ROUND(L410*K410,2)</f>
        <v>0</v>
      </c>
    </row>
    <row r="411" spans="1:13" x14ac:dyDescent="0.25">
      <c r="A411" s="19"/>
      <c r="B411" s="19"/>
      <c r="C411" s="19"/>
      <c r="D411" s="26"/>
      <c r="E411" s="19"/>
      <c r="F411" s="19"/>
      <c r="G411" s="19"/>
      <c r="H411" s="19"/>
      <c r="I411" s="19"/>
      <c r="J411" s="19"/>
      <c r="K411" s="19"/>
      <c r="L411" s="19"/>
      <c r="M411" s="19"/>
    </row>
    <row r="412" spans="1:13" x14ac:dyDescent="0.25">
      <c r="A412" s="14" t="s">
        <v>373</v>
      </c>
      <c r="B412" s="14" t="s">
        <v>23</v>
      </c>
      <c r="C412" s="14" t="s">
        <v>24</v>
      </c>
      <c r="D412" s="25" t="s">
        <v>374</v>
      </c>
      <c r="E412" s="11"/>
      <c r="F412" s="11"/>
      <c r="G412" s="11"/>
      <c r="H412" s="11"/>
      <c r="I412" s="11"/>
      <c r="J412" s="11"/>
      <c r="K412" s="15">
        <f>K416</f>
        <v>5</v>
      </c>
      <c r="L412" s="15">
        <f>L416</f>
        <v>0</v>
      </c>
      <c r="M412" s="15">
        <f>M416</f>
        <v>0</v>
      </c>
    </row>
    <row r="413" spans="1:13" ht="45" x14ac:dyDescent="0.25">
      <c r="A413" s="11"/>
      <c r="B413" s="11"/>
      <c r="C413" s="11"/>
      <c r="D413" s="16" t="s">
        <v>375</v>
      </c>
      <c r="E413" s="11"/>
      <c r="F413" s="11"/>
      <c r="G413" s="11"/>
      <c r="H413" s="11"/>
      <c r="I413" s="11"/>
      <c r="J413" s="11"/>
      <c r="K413" s="11"/>
      <c r="L413" s="11"/>
      <c r="M413" s="11"/>
    </row>
    <row r="414" spans="1:13" x14ac:dyDescent="0.25">
      <c r="A414" s="11"/>
      <c r="B414" s="11"/>
      <c r="C414" s="11"/>
      <c r="D414" s="16"/>
      <c r="E414" s="14" t="s">
        <v>376</v>
      </c>
      <c r="F414" s="11">
        <v>2</v>
      </c>
      <c r="G414" s="17">
        <v>0</v>
      </c>
      <c r="H414" s="17">
        <v>0</v>
      </c>
      <c r="I414" s="17">
        <v>0</v>
      </c>
      <c r="J414" s="15">
        <f>F414*(G414+ (G414= 0))*(H414+ (H414= 0))*(I414+ (I414= 0))</f>
        <v>2</v>
      </c>
      <c r="K414" s="11"/>
      <c r="L414" s="11"/>
      <c r="M414" s="11"/>
    </row>
    <row r="415" spans="1:13" x14ac:dyDescent="0.25">
      <c r="A415" s="11"/>
      <c r="B415" s="11"/>
      <c r="C415" s="11"/>
      <c r="D415" s="16"/>
      <c r="E415" s="14" t="s">
        <v>377</v>
      </c>
      <c r="F415" s="11">
        <v>3</v>
      </c>
      <c r="G415" s="17">
        <v>0</v>
      </c>
      <c r="H415" s="17">
        <v>0</v>
      </c>
      <c r="I415" s="17">
        <v>0</v>
      </c>
      <c r="J415" s="15">
        <f>F415*(G415+ (G415= 0))*(H415+ (H415= 0))*(I415+ (I415= 0))</f>
        <v>3</v>
      </c>
      <c r="K415" s="11"/>
      <c r="L415" s="11"/>
      <c r="M415" s="11"/>
    </row>
    <row r="416" spans="1:13" x14ac:dyDescent="0.25">
      <c r="A416" s="11"/>
      <c r="B416" s="11"/>
      <c r="C416" s="11"/>
      <c r="D416" s="16"/>
      <c r="E416" s="11"/>
      <c r="F416" s="11"/>
      <c r="G416" s="11"/>
      <c r="H416" s="11"/>
      <c r="I416" s="11"/>
      <c r="J416" s="18" t="s">
        <v>378</v>
      </c>
      <c r="K416" s="10">
        <f>SUM(J414:J415)</f>
        <v>5</v>
      </c>
      <c r="L416" s="17">
        <v>0</v>
      </c>
      <c r="M416" s="10">
        <f>ROUND(L416*K416,2)</f>
        <v>0</v>
      </c>
    </row>
    <row r="417" spans="1:13" x14ac:dyDescent="0.25">
      <c r="A417" s="19"/>
      <c r="B417" s="19"/>
      <c r="C417" s="19"/>
      <c r="D417" s="26"/>
      <c r="E417" s="19"/>
      <c r="F417" s="19"/>
      <c r="G417" s="19"/>
      <c r="H417" s="19"/>
      <c r="I417" s="19"/>
      <c r="J417" s="19"/>
      <c r="K417" s="19"/>
      <c r="L417" s="19"/>
      <c r="M417" s="19"/>
    </row>
    <row r="418" spans="1:13" x14ac:dyDescent="0.25">
      <c r="A418" s="14" t="s">
        <v>379</v>
      </c>
      <c r="B418" s="14" t="s">
        <v>23</v>
      </c>
      <c r="C418" s="14" t="s">
        <v>24</v>
      </c>
      <c r="D418" s="25" t="s">
        <v>380</v>
      </c>
      <c r="E418" s="11"/>
      <c r="F418" s="11"/>
      <c r="G418" s="11"/>
      <c r="H418" s="11"/>
      <c r="I418" s="11"/>
      <c r="J418" s="11"/>
      <c r="K418" s="15">
        <f>K421</f>
        <v>2</v>
      </c>
      <c r="L418" s="15">
        <f>L421</f>
        <v>0</v>
      </c>
      <c r="M418" s="15">
        <f>M421</f>
        <v>0</v>
      </c>
    </row>
    <row r="419" spans="1:13" ht="45" x14ac:dyDescent="0.25">
      <c r="A419" s="11"/>
      <c r="B419" s="11"/>
      <c r="C419" s="11"/>
      <c r="D419" s="16" t="s">
        <v>381</v>
      </c>
      <c r="E419" s="11"/>
      <c r="F419" s="11"/>
      <c r="G419" s="11"/>
      <c r="H419" s="11"/>
      <c r="I419" s="11"/>
      <c r="J419" s="11"/>
      <c r="K419" s="11"/>
      <c r="L419" s="11"/>
      <c r="M419" s="11"/>
    </row>
    <row r="420" spans="1:13" x14ac:dyDescent="0.25">
      <c r="A420" s="11"/>
      <c r="B420" s="11"/>
      <c r="C420" s="11"/>
      <c r="D420" s="16"/>
      <c r="E420" s="14" t="s">
        <v>18</v>
      </c>
      <c r="F420" s="11">
        <v>2</v>
      </c>
      <c r="G420" s="17">
        <v>0</v>
      </c>
      <c r="H420" s="17">
        <v>0</v>
      </c>
      <c r="I420" s="17">
        <v>0</v>
      </c>
      <c r="J420" s="15">
        <f>F420*(G420+ (G420= 0))*(H420+ (H420= 0))*(I420+ (I420= 0))</f>
        <v>2</v>
      </c>
      <c r="K420" s="11"/>
      <c r="L420" s="11"/>
      <c r="M420" s="11"/>
    </row>
    <row r="421" spans="1:13" x14ac:dyDescent="0.25">
      <c r="A421" s="11"/>
      <c r="B421" s="11"/>
      <c r="C421" s="11"/>
      <c r="D421" s="16"/>
      <c r="E421" s="11"/>
      <c r="F421" s="11"/>
      <c r="G421" s="11"/>
      <c r="H421" s="11"/>
      <c r="I421" s="11"/>
      <c r="J421" s="18" t="s">
        <v>382</v>
      </c>
      <c r="K421" s="10">
        <f>SUM(J420:J420)</f>
        <v>2</v>
      </c>
      <c r="L421" s="17">
        <v>0</v>
      </c>
      <c r="M421" s="10">
        <f>ROUND(L421*K421,2)</f>
        <v>0</v>
      </c>
    </row>
    <row r="422" spans="1:13" x14ac:dyDescent="0.25">
      <c r="A422" s="19"/>
      <c r="B422" s="19"/>
      <c r="C422" s="19"/>
      <c r="D422" s="26"/>
      <c r="E422" s="19"/>
      <c r="F422" s="19"/>
      <c r="G422" s="19"/>
      <c r="H422" s="19"/>
      <c r="I422" s="19"/>
      <c r="J422" s="19"/>
      <c r="K422" s="19"/>
      <c r="L422" s="19"/>
      <c r="M422" s="19"/>
    </row>
    <row r="423" spans="1:13" x14ac:dyDescent="0.25">
      <c r="A423" s="14" t="s">
        <v>383</v>
      </c>
      <c r="B423" s="14" t="s">
        <v>23</v>
      </c>
      <c r="C423" s="14" t="s">
        <v>24</v>
      </c>
      <c r="D423" s="25" t="s">
        <v>384</v>
      </c>
      <c r="E423" s="11"/>
      <c r="F423" s="11"/>
      <c r="G423" s="11"/>
      <c r="H423" s="11"/>
      <c r="I423" s="11"/>
      <c r="J423" s="11"/>
      <c r="K423" s="15">
        <f>K426</f>
        <v>1</v>
      </c>
      <c r="L423" s="15">
        <f>L426</f>
        <v>0</v>
      </c>
      <c r="M423" s="15">
        <f>M426</f>
        <v>0</v>
      </c>
    </row>
    <row r="424" spans="1:13" ht="56.25" x14ac:dyDescent="0.25">
      <c r="A424" s="11"/>
      <c r="B424" s="11"/>
      <c r="C424" s="11"/>
      <c r="D424" s="16" t="s">
        <v>385</v>
      </c>
      <c r="E424" s="11"/>
      <c r="F424" s="11"/>
      <c r="G424" s="11"/>
      <c r="H424" s="11"/>
      <c r="I424" s="11"/>
      <c r="J424" s="11"/>
      <c r="K424" s="11"/>
      <c r="L424" s="11"/>
      <c r="M424" s="11"/>
    </row>
    <row r="425" spans="1:13" x14ac:dyDescent="0.25">
      <c r="A425" s="11"/>
      <c r="B425" s="11"/>
      <c r="C425" s="11"/>
      <c r="D425" s="16"/>
      <c r="E425" s="14" t="s">
        <v>18</v>
      </c>
      <c r="F425" s="11">
        <v>1</v>
      </c>
      <c r="G425" s="17">
        <v>0</v>
      </c>
      <c r="H425" s="17">
        <v>0</v>
      </c>
      <c r="I425" s="17">
        <v>0</v>
      </c>
      <c r="J425" s="15">
        <f>F425*(G425+ (G425= 0))*(H425+ (H425= 0))*(I425+ (I425= 0))</f>
        <v>1</v>
      </c>
      <c r="K425" s="11"/>
      <c r="L425" s="11"/>
      <c r="M425" s="11"/>
    </row>
    <row r="426" spans="1:13" x14ac:dyDescent="0.25">
      <c r="A426" s="11"/>
      <c r="B426" s="11"/>
      <c r="C426" s="11"/>
      <c r="D426" s="16"/>
      <c r="E426" s="11"/>
      <c r="F426" s="11"/>
      <c r="G426" s="11"/>
      <c r="H426" s="11"/>
      <c r="I426" s="11"/>
      <c r="J426" s="18" t="s">
        <v>386</v>
      </c>
      <c r="K426" s="10">
        <f>SUM(J425:J425)</f>
        <v>1</v>
      </c>
      <c r="L426" s="17">
        <v>0</v>
      </c>
      <c r="M426" s="10">
        <f>ROUND(L426*K426,2)</f>
        <v>0</v>
      </c>
    </row>
    <row r="427" spans="1:13" x14ac:dyDescent="0.25">
      <c r="A427" s="19"/>
      <c r="B427" s="19"/>
      <c r="C427" s="19"/>
      <c r="D427" s="26"/>
      <c r="E427" s="19"/>
      <c r="F427" s="19"/>
      <c r="G427" s="19"/>
      <c r="H427" s="19"/>
      <c r="I427" s="19"/>
      <c r="J427" s="19"/>
      <c r="K427" s="19"/>
      <c r="L427" s="19"/>
      <c r="M427" s="19"/>
    </row>
    <row r="428" spans="1:13" x14ac:dyDescent="0.25">
      <c r="A428" s="14" t="s">
        <v>387</v>
      </c>
      <c r="B428" s="14" t="s">
        <v>23</v>
      </c>
      <c r="C428" s="14" t="s">
        <v>24</v>
      </c>
      <c r="D428" s="25" t="s">
        <v>388</v>
      </c>
      <c r="E428" s="11"/>
      <c r="F428" s="11"/>
      <c r="G428" s="11"/>
      <c r="H428" s="11"/>
      <c r="I428" s="11"/>
      <c r="J428" s="11"/>
      <c r="K428" s="15">
        <f>K431</f>
        <v>2</v>
      </c>
      <c r="L428" s="15">
        <f>L431</f>
        <v>0</v>
      </c>
      <c r="M428" s="15">
        <f>M431</f>
        <v>0</v>
      </c>
    </row>
    <row r="429" spans="1:13" ht="90" x14ac:dyDescent="0.25">
      <c r="A429" s="11"/>
      <c r="B429" s="11"/>
      <c r="C429" s="11"/>
      <c r="D429" s="16" t="s">
        <v>389</v>
      </c>
      <c r="E429" s="11"/>
      <c r="F429" s="11"/>
      <c r="G429" s="11"/>
      <c r="H429" s="11"/>
      <c r="I429" s="11"/>
      <c r="J429" s="11"/>
      <c r="K429" s="11"/>
      <c r="L429" s="11"/>
      <c r="M429" s="11"/>
    </row>
    <row r="430" spans="1:13" x14ac:dyDescent="0.25">
      <c r="A430" s="11"/>
      <c r="B430" s="11"/>
      <c r="C430" s="11"/>
      <c r="D430" s="16"/>
      <c r="E430" s="14" t="s">
        <v>18</v>
      </c>
      <c r="F430" s="11">
        <v>2</v>
      </c>
      <c r="G430" s="17">
        <v>0</v>
      </c>
      <c r="H430" s="17">
        <v>0</v>
      </c>
      <c r="I430" s="17">
        <v>0</v>
      </c>
      <c r="J430" s="15">
        <f>F430*(G430+ (G430= 0))*(H430+ (H430= 0))*(I430+ (I430= 0))</f>
        <v>2</v>
      </c>
      <c r="K430" s="11"/>
      <c r="L430" s="11"/>
      <c r="M430" s="11"/>
    </row>
    <row r="431" spans="1:13" x14ac:dyDescent="0.25">
      <c r="A431" s="11"/>
      <c r="B431" s="11"/>
      <c r="C431" s="11"/>
      <c r="D431" s="16"/>
      <c r="E431" s="11"/>
      <c r="F431" s="11"/>
      <c r="G431" s="11"/>
      <c r="H431" s="11"/>
      <c r="I431" s="11"/>
      <c r="J431" s="18" t="s">
        <v>390</v>
      </c>
      <c r="K431" s="10">
        <f>SUM(J430:J430)</f>
        <v>2</v>
      </c>
      <c r="L431" s="17">
        <v>0</v>
      </c>
      <c r="M431" s="20">
        <f>ROUND(L431*K431,2)</f>
        <v>0</v>
      </c>
    </row>
    <row r="432" spans="1:13" x14ac:dyDescent="0.25">
      <c r="A432" s="19"/>
      <c r="B432" s="19"/>
      <c r="C432" s="19"/>
      <c r="D432" s="26"/>
      <c r="E432" s="19"/>
      <c r="F432" s="19"/>
      <c r="G432" s="19"/>
      <c r="H432" s="19"/>
      <c r="I432" s="19"/>
      <c r="J432" s="19"/>
      <c r="K432" s="19"/>
      <c r="L432" s="19"/>
      <c r="M432" s="19"/>
    </row>
    <row r="433" spans="1:13" x14ac:dyDescent="0.25">
      <c r="A433" s="14" t="s">
        <v>391</v>
      </c>
      <c r="B433" s="14" t="s">
        <v>23</v>
      </c>
      <c r="C433" s="14" t="s">
        <v>24</v>
      </c>
      <c r="D433" s="25" t="s">
        <v>392</v>
      </c>
      <c r="E433" s="11"/>
      <c r="F433" s="11"/>
      <c r="G433" s="11"/>
      <c r="H433" s="11"/>
      <c r="I433" s="11"/>
      <c r="J433" s="11"/>
      <c r="K433" s="15">
        <f>K436</f>
        <v>1</v>
      </c>
      <c r="L433" s="15">
        <f>L436</f>
        <v>0</v>
      </c>
      <c r="M433" s="15">
        <f>M436</f>
        <v>0</v>
      </c>
    </row>
    <row r="434" spans="1:13" ht="90" x14ac:dyDescent="0.25">
      <c r="A434" s="11"/>
      <c r="B434" s="11"/>
      <c r="C434" s="11"/>
      <c r="D434" s="16" t="s">
        <v>393</v>
      </c>
      <c r="E434" s="11"/>
      <c r="F434" s="11"/>
      <c r="G434" s="11"/>
      <c r="H434" s="11"/>
      <c r="I434" s="11"/>
      <c r="J434" s="11"/>
      <c r="K434" s="11"/>
      <c r="L434" s="11"/>
      <c r="M434" s="11"/>
    </row>
    <row r="435" spans="1:13" x14ac:dyDescent="0.25">
      <c r="A435" s="11"/>
      <c r="B435" s="11"/>
      <c r="C435" s="11"/>
      <c r="D435" s="16"/>
      <c r="E435" s="14" t="s">
        <v>18</v>
      </c>
      <c r="F435" s="11">
        <v>1</v>
      </c>
      <c r="G435" s="17">
        <v>0</v>
      </c>
      <c r="H435" s="17">
        <v>0</v>
      </c>
      <c r="I435" s="17">
        <v>0</v>
      </c>
      <c r="J435" s="15">
        <f>F435*(G435+ (G435= 0))*(H435+ (H435= 0))*(I435+ (I435= 0))</f>
        <v>1</v>
      </c>
      <c r="K435" s="11"/>
      <c r="L435" s="11"/>
      <c r="M435" s="11"/>
    </row>
    <row r="436" spans="1:13" x14ac:dyDescent="0.25">
      <c r="A436" s="11"/>
      <c r="B436" s="11"/>
      <c r="C436" s="11"/>
      <c r="D436" s="16"/>
      <c r="E436" s="11"/>
      <c r="F436" s="11"/>
      <c r="G436" s="11"/>
      <c r="H436" s="11"/>
      <c r="I436" s="11"/>
      <c r="J436" s="18" t="s">
        <v>394</v>
      </c>
      <c r="K436" s="10">
        <f>SUM(J435:J435)</f>
        <v>1</v>
      </c>
      <c r="L436" s="17">
        <v>0</v>
      </c>
      <c r="M436" s="20">
        <f>ROUND(L436*K436,2)</f>
        <v>0</v>
      </c>
    </row>
    <row r="437" spans="1:13" x14ac:dyDescent="0.25">
      <c r="A437" s="19"/>
      <c r="B437" s="19"/>
      <c r="C437" s="19"/>
      <c r="D437" s="26"/>
      <c r="E437" s="19"/>
      <c r="F437" s="19"/>
      <c r="G437" s="19"/>
      <c r="H437" s="19"/>
      <c r="I437" s="19"/>
      <c r="J437" s="19"/>
      <c r="K437" s="19"/>
      <c r="L437" s="19"/>
      <c r="M437" s="19"/>
    </row>
    <row r="438" spans="1:13" x14ac:dyDescent="0.25">
      <c r="A438" s="14" t="s">
        <v>395</v>
      </c>
      <c r="B438" s="14" t="s">
        <v>23</v>
      </c>
      <c r="C438" s="14" t="s">
        <v>24</v>
      </c>
      <c r="D438" s="25" t="s">
        <v>396</v>
      </c>
      <c r="E438" s="11"/>
      <c r="F438" s="11"/>
      <c r="G438" s="11"/>
      <c r="H438" s="11"/>
      <c r="I438" s="11"/>
      <c r="J438" s="11"/>
      <c r="K438" s="15">
        <f>K441</f>
        <v>1</v>
      </c>
      <c r="L438" s="15">
        <f>L441</f>
        <v>0</v>
      </c>
      <c r="M438" s="15">
        <f>M441</f>
        <v>0</v>
      </c>
    </row>
    <row r="439" spans="1:13" ht="45" x14ac:dyDescent="0.25">
      <c r="A439" s="11"/>
      <c r="B439" s="11"/>
      <c r="C439" s="11"/>
      <c r="D439" s="16" t="s">
        <v>397</v>
      </c>
      <c r="E439" s="11"/>
      <c r="F439" s="11"/>
      <c r="G439" s="11"/>
      <c r="H439" s="11"/>
      <c r="I439" s="11"/>
      <c r="J439" s="11"/>
      <c r="K439" s="11"/>
      <c r="L439" s="11"/>
      <c r="M439" s="11"/>
    </row>
    <row r="440" spans="1:13" x14ac:dyDescent="0.25">
      <c r="A440" s="11"/>
      <c r="B440" s="11"/>
      <c r="C440" s="11"/>
      <c r="D440" s="16"/>
      <c r="E440" s="14" t="s">
        <v>18</v>
      </c>
      <c r="F440" s="11">
        <v>1</v>
      </c>
      <c r="G440" s="17">
        <v>0</v>
      </c>
      <c r="H440" s="17">
        <v>0</v>
      </c>
      <c r="I440" s="17">
        <v>0</v>
      </c>
      <c r="J440" s="15">
        <f>F440*(G440+ (G440= 0))*(H440+ (H440= 0))*(I440+ (I440= 0))</f>
        <v>1</v>
      </c>
      <c r="K440" s="11"/>
      <c r="L440" s="11"/>
      <c r="M440" s="11"/>
    </row>
    <row r="441" spans="1:13" x14ac:dyDescent="0.25">
      <c r="A441" s="11"/>
      <c r="B441" s="11"/>
      <c r="C441" s="11"/>
      <c r="D441" s="16"/>
      <c r="E441" s="11"/>
      <c r="F441" s="11"/>
      <c r="G441" s="11"/>
      <c r="H441" s="11"/>
      <c r="I441" s="11"/>
      <c r="J441" s="18" t="s">
        <v>398</v>
      </c>
      <c r="K441" s="10">
        <f>SUM(J440:J440)</f>
        <v>1</v>
      </c>
      <c r="L441" s="17">
        <v>0</v>
      </c>
      <c r="M441" s="10">
        <f>ROUND(L441*K441,2)</f>
        <v>0</v>
      </c>
    </row>
    <row r="442" spans="1:13" x14ac:dyDescent="0.25">
      <c r="A442" s="19"/>
      <c r="B442" s="19"/>
      <c r="C442" s="19"/>
      <c r="D442" s="26"/>
      <c r="E442" s="19"/>
      <c r="F442" s="19"/>
      <c r="G442" s="19"/>
      <c r="H442" s="19"/>
      <c r="I442" s="19"/>
      <c r="J442" s="19"/>
      <c r="K442" s="19"/>
      <c r="L442" s="19"/>
      <c r="M442" s="19"/>
    </row>
    <row r="443" spans="1:13" x14ac:dyDescent="0.25">
      <c r="A443" s="11"/>
      <c r="B443" s="11"/>
      <c r="C443" s="11"/>
      <c r="D443" s="16"/>
      <c r="E443" s="11"/>
      <c r="F443" s="11"/>
      <c r="G443" s="11"/>
      <c r="H443" s="11"/>
      <c r="I443" s="11"/>
      <c r="J443" s="18" t="s">
        <v>399</v>
      </c>
      <c r="K443" s="17">
        <v>1</v>
      </c>
      <c r="L443" s="10">
        <f>M341+M346+M351+M356+M361+M366+M371+M376+M381+M386+M392+M400+M405+M410+M416+M421+M426+M431+M436+M441</f>
        <v>0</v>
      </c>
      <c r="M443" s="10">
        <f>ROUND(L443*K443,2)</f>
        <v>0</v>
      </c>
    </row>
    <row r="444" spans="1:13" x14ac:dyDescent="0.25">
      <c r="A444" s="19"/>
      <c r="B444" s="19"/>
      <c r="C444" s="19"/>
      <c r="D444" s="26"/>
      <c r="E444" s="19"/>
      <c r="F444" s="19"/>
      <c r="G444" s="19"/>
      <c r="H444" s="19"/>
      <c r="I444" s="19"/>
      <c r="J444" s="19"/>
      <c r="K444" s="19"/>
      <c r="L444" s="19"/>
      <c r="M444" s="19"/>
    </row>
    <row r="445" spans="1:13" x14ac:dyDescent="0.25">
      <c r="A445" s="11"/>
      <c r="B445" s="11"/>
      <c r="C445" s="11"/>
      <c r="D445" s="16"/>
      <c r="E445" s="11"/>
      <c r="F445" s="11"/>
      <c r="G445" s="11"/>
      <c r="H445" s="11"/>
      <c r="I445" s="11"/>
      <c r="J445" s="18" t="s">
        <v>400</v>
      </c>
      <c r="K445" s="21">
        <v>1</v>
      </c>
      <c r="L445" s="10">
        <f>M83+M138+M242+M271+M315+M334+M443</f>
        <v>0</v>
      </c>
      <c r="M445" s="10">
        <f>ROUND(L445*K445,2)</f>
        <v>0</v>
      </c>
    </row>
    <row r="446" spans="1:13" x14ac:dyDescent="0.25">
      <c r="A446" s="19"/>
      <c r="B446" s="19"/>
      <c r="C446" s="19"/>
      <c r="D446" s="26"/>
      <c r="E446" s="19"/>
      <c r="F446" s="19"/>
      <c r="G446" s="19"/>
      <c r="H446" s="19"/>
      <c r="I446" s="19"/>
      <c r="J446" s="19"/>
      <c r="K446" s="19"/>
      <c r="L446" s="19"/>
      <c r="M446" s="19"/>
    </row>
    <row r="447" spans="1:13" x14ac:dyDescent="0.25">
      <c r="A447" s="11"/>
      <c r="B447" s="11"/>
      <c r="C447" s="11"/>
      <c r="D447" s="16"/>
      <c r="E447" s="11"/>
      <c r="F447" s="11"/>
      <c r="G447" s="11"/>
      <c r="H447" s="11"/>
      <c r="I447" s="11"/>
      <c r="J447" s="18" t="s">
        <v>401</v>
      </c>
      <c r="K447" s="21">
        <v>1</v>
      </c>
      <c r="L447" s="10">
        <f>M445</f>
        <v>0</v>
      </c>
      <c r="M447" s="10">
        <f>ROUND(L447*K447,2)</f>
        <v>0</v>
      </c>
    </row>
    <row r="448" spans="1:13" x14ac:dyDescent="0.25">
      <c r="A448" s="11"/>
      <c r="B448" s="11"/>
      <c r="C448" s="11"/>
      <c r="D448" s="16"/>
      <c r="E448" s="11"/>
      <c r="F448" s="11"/>
      <c r="G448" s="11"/>
      <c r="H448" s="11"/>
      <c r="I448" s="11"/>
      <c r="J448" s="11"/>
      <c r="K448" s="11"/>
      <c r="L448" s="11"/>
      <c r="M448" s="11"/>
    </row>
  </sheetData>
  <dataValidations count="1">
    <dataValidation type="list" allowBlank="1" showInputMessage="1" showErrorMessage="1" sqref="B4:B448">
      <formula1>"Capítulo,Partida,Mano de obra,Maquinaria,Material,Otros,"</formula1>
    </dataValidation>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Tomeu</dc:creator>
  <cp:lastModifiedBy>Tomeu</cp:lastModifiedBy>
  <dcterms:created xsi:type="dcterms:W3CDTF">2025-04-22T08:40:26Z</dcterms:created>
  <dcterms:modified xsi:type="dcterms:W3CDTF">2025-04-22T08:43:29Z</dcterms:modified>
</cp:coreProperties>
</file>