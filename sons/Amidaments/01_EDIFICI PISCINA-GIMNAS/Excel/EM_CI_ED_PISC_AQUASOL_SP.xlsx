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61" i="1" l="1"/>
  <c r="L61" i="1"/>
  <c r="M4" i="1"/>
  <c r="M59" i="1"/>
  <c r="K4" i="1"/>
  <c r="L4" i="1"/>
  <c r="L59" i="1"/>
  <c r="M32" i="1"/>
  <c r="M57" i="1"/>
  <c r="K32" i="1"/>
  <c r="L32" i="1"/>
  <c r="L57" i="1"/>
  <c r="M52" i="1"/>
  <c r="M55" i="1"/>
  <c r="K52" i="1"/>
  <c r="K55" i="1"/>
  <c r="L52" i="1"/>
  <c r="J54" i="1"/>
  <c r="M46" i="1"/>
  <c r="M50" i="1"/>
  <c r="K46" i="1"/>
  <c r="K50" i="1"/>
  <c r="L46" i="1"/>
  <c r="J49" i="1"/>
  <c r="J48" i="1"/>
  <c r="M34" i="1"/>
  <c r="M44" i="1"/>
  <c r="K34" i="1"/>
  <c r="K44" i="1"/>
  <c r="L34" i="1"/>
  <c r="J43" i="1"/>
  <c r="J42" i="1"/>
  <c r="J41" i="1"/>
  <c r="J40" i="1"/>
  <c r="J39" i="1"/>
  <c r="J38" i="1"/>
  <c r="J37" i="1"/>
  <c r="J36" i="1"/>
  <c r="M6" i="1"/>
  <c r="M30" i="1"/>
  <c r="K6" i="1"/>
  <c r="L6" i="1"/>
  <c r="L30" i="1"/>
  <c r="M25" i="1"/>
  <c r="M28" i="1"/>
  <c r="K25" i="1"/>
  <c r="K28" i="1"/>
  <c r="L25" i="1"/>
  <c r="J27" i="1"/>
  <c r="M23" i="1"/>
  <c r="M17" i="1"/>
  <c r="M21" i="1"/>
  <c r="K17" i="1"/>
  <c r="K21" i="1"/>
  <c r="L17" i="1"/>
  <c r="J20" i="1"/>
  <c r="J19" i="1"/>
  <c r="M15" i="1"/>
  <c r="M8" i="1"/>
  <c r="M13" i="1"/>
  <c r="K8" i="1"/>
  <c r="K13" i="1"/>
  <c r="L8" i="1"/>
  <c r="J12" i="1"/>
  <c r="J11" i="1"/>
  <c r="J10" i="1"/>
</calcChain>
</file>

<file path=xl/sharedStrings.xml><?xml version="1.0" encoding="utf-8"?>
<sst xmlns="http://schemas.openxmlformats.org/spreadsheetml/2006/main" count="94" uniqueCount="75">
  <si>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</si>
  <si>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</si>
  <si>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</si>
  <si>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</si>
  <si>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</si>
  <si>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</si>
  <si>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</si>
  <si>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</si>
  <si>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</si>
  <si>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</si>
  <si>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</si>
  <si>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</si>
  <si>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</si>
  <si>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</si>
  <si>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</si>
  <si>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CI           </t>
  </si>
  <si>
    <t>CONTRA INCENDIOS</t>
  </si>
  <si>
    <t>Capítulo</t>
  </si>
  <si>
    <t>u</t>
  </si>
  <si>
    <t xml:space="preserve">PUERTASCI    </t>
  </si>
  <si>
    <t>PUERTAS CONTRA INCENDIOS</t>
  </si>
  <si>
    <t/>
  </si>
  <si>
    <t xml:space="preserve">EI2 60C514   </t>
  </si>
  <si>
    <t>PUERTA RESISTENTE AL FUEGO EI2 60-C5 80 cm 2 hojas</t>
  </si>
  <si>
    <t>Partida</t>
  </si>
  <si>
    <t xml:space="preserve">Suministro e instalación de Puerta resistente al fuego EI2 60-C5 de dos hojas de 80+80 cm, h=2.05 m, con mecanismo de cierre automático y cerradura homolagada. Incluye selector de cierre modelo CISA para cierre de puertas dobles de longintud estándar en acero cromado, una después de la otra, Marcado CE según la directiva 86/106/CEE emitido por ICIM. Incluso ensayo y/o homologación de puerta, mecanismo de cierre y cerradura, accesorios y parte proporcional de elementos mecánicos y material auxiliar necesario para montaje, soporte y sujeción.
</t>
  </si>
  <si>
    <t>Acceso almacén 1</t>
  </si>
  <si>
    <t>Acceso cuarto máquinas</t>
  </si>
  <si>
    <t>Acceso gimnasio</t>
  </si>
  <si>
    <t>EI2 60C514</t>
  </si>
  <si>
    <t>EI2 60-C5 120</t>
  </si>
  <si>
    <t>PUERTA RESISTENTE AL FUEGO EI2 60-C5 120 cm</t>
  </si>
  <si>
    <t xml:space="preserve">Suministro e instalación de Puerta resistente al fuego EI2 60-C5 de una hoja de 120 cm, h=2.05 m, con mecanismo de cierre automático y cerradura homolagada. Incluso ensayo y/o homologación de puerta, mecanismo de cierre y cerradura, accesorios y parte proporcional de elementos mecánicos y material auxiliar necesario para montaje, soporte y sujeción.
</t>
  </si>
  <si>
    <t>EI2 60-C5 IZQ</t>
  </si>
  <si>
    <t>PUERTA RESISTENTE AL FUEGO EI2 60-C5 80 cm IZQUIERDAS</t>
  </si>
  <si>
    <t xml:space="preserve">Suministro e instalación de Puerta resistente al fuego EI2 60-C5 de una hoja de 80 cm, apertura izquierda, h=2.05 m, con mecanismo de cierre automático y cerradura homolagada. Incluso ensayo y/o homologación de puerta, mecanismo de cierre y cerradura, accesorios y parte proporcional de elementos mecánicos y material auxiliar necesario para montaje, soporte y sujeción.
</t>
  </si>
  <si>
    <t>Acceso almacén 2</t>
  </si>
  <si>
    <t>Acceso almacén 3</t>
  </si>
  <si>
    <t>EI2 60-C5 DER</t>
  </si>
  <si>
    <t>PUERTA RESISTENTE AL FUEGO EI2 60-C5 80 cm DERECHAS</t>
  </si>
  <si>
    <t xml:space="preserve">Suministro e instalación de Puerta resistente al fuego EI2 60-C5 de una hoja de 80 cm, apertura derecha, h=2.05 m, con mecanismo de cierre automático y cerradura homolagada. Incluso ensayo y/o homologación de puerta, mecanismo de cierre y cerradura, accesorios y parte proporcional de elementos mecánicos y material auxiliar necesario para montaje, soporte y sujeción.
</t>
  </si>
  <si>
    <t xml:space="preserve">BANT001      </t>
  </si>
  <si>
    <t>BARRA ANTIPÁNICO PUERTA DE EVACUACIÓN</t>
  </si>
  <si>
    <t xml:space="preserve">Suministro e instalación de Barra antipánico para puerta de evacuación homologada y/o certifcada. Incluso pp de accesorios y elementos necesarios para su montaje, homologación y/o certificación incluido.
</t>
  </si>
  <si>
    <t>Acceso escalera desde gimnasio</t>
  </si>
  <si>
    <t>BANT001</t>
  </si>
  <si>
    <t>PUERTASCI</t>
  </si>
  <si>
    <t xml:space="preserve">CI.5         </t>
  </si>
  <si>
    <t>EXTINTORES PORTATILES</t>
  </si>
  <si>
    <t xml:space="preserve">2.4.0        </t>
  </si>
  <si>
    <t>EXTINTOR PORTATIL DE POLVO 21A-113B</t>
  </si>
  <si>
    <t>ud.</t>
  </si>
  <si>
    <t xml:space="preserve">Suministro y colocación de extintor portátil de polvo químico ABC polivalente antibrasa, con presión incorporada, de eficacia 21A-113B, con 6 kg de agente extintor, con manómetro y manguera con boquilla difusora. Incluso soporte y accesorios de montaje. Totalmente montado.
</t>
  </si>
  <si>
    <t>Pl. baja.- solarium</t>
  </si>
  <si>
    <t>Pl. baja.- spa</t>
  </si>
  <si>
    <t>Pl. baja. almacén 1</t>
  </si>
  <si>
    <t>Pl. baja.- Cuarto maquinas</t>
  </si>
  <si>
    <t>Pl. baja. Escalera</t>
  </si>
  <si>
    <t>Pl. baja.- aseos piscina</t>
  </si>
  <si>
    <t>Pl. primera.- Gimnasio</t>
  </si>
  <si>
    <t>Pl. primera.- escalera</t>
  </si>
  <si>
    <t>2.4.0</t>
  </si>
  <si>
    <t xml:space="preserve">2.4.2        </t>
  </si>
  <si>
    <t>EXTINTOR CO2 6 kg.</t>
  </si>
  <si>
    <t>Suministro e instalación de extintor automático de CO2 Eficacia 34B, de 6 kg. de agente extintor, con soporte, manómetro comprobable y rociador en boquilla, según Norma UNE. Medida la unidad instalada.</t>
  </si>
  <si>
    <t>Pl. baja.- cuadros eléctricos</t>
  </si>
  <si>
    <t>Pl. primera.- cuadro gimnasio</t>
  </si>
  <si>
    <t>2.4.2</t>
  </si>
  <si>
    <t xml:space="preserve">2.4.3        </t>
  </si>
  <si>
    <t>CERTIFICADO INSTALACIÓN EXTINTORES PORTATILES</t>
  </si>
  <si>
    <t xml:space="preserve">Entrega del certificado de instalación de los extintores portátiles según modelo de la comunidad Autonoma de les Illes Balears (UDIT) incluso tramitación de puesta en servicio de dicha instalación ante la UDIT
</t>
  </si>
  <si>
    <t>2.4.3</t>
  </si>
  <si>
    <t>CI.5</t>
  </si>
  <si>
    <t>CI</t>
  </si>
  <si>
    <t>AQUASOL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</si>
</sst>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tabSelected="1" workbookViewId="0">
      <pane xSplit="4" ySplit="3" topLeftCell="E4" activePane="bottomRight" state="frozen"/>
      <selection pane="topRight" activeCell="E1" sqref="E1"/>
      <selection pane="bottomLeft" activeCell="A4" sqref="A4"/>
      <selection pane="bottomRight" activeCell="D9" sqref="D9"/>
    </sheetView>
  </sheetViews>
  <sheetFormatPr baseColWidth="10" defaultRowHeight="15" x14ac:dyDescent="0.25"/>
  <cols>
    <col min="1" max="1" width="15.5703125" bestFit="1" customWidth="1"/>
    <col min="2" max="2" width="6.5703125" customWidth="1"/>
    <col min="3" max="3" width="3.7109375" customWidth="1"/>
    <col min="4" max="4" width="81.85546875" customWidth="1"/>
    <col min="5" max="5" width="23" bestFit="1" customWidth="1"/>
    <col min="6" max="6" width="2.85546875" customWidth="1"/>
    <col min="7" max="7" width="8.5703125" customWidth="1"/>
    <col min="8" max="8" width="8.140625" customWidth="1"/>
    <col min="9" max="9" width="6.5703125" customWidth="1"/>
    <col min="10" max="10" width="9.7109375" customWidth="1"/>
    <col min="11" max="11" width="7.8554687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K59</f>
        <v>1</v>
      </c>
      <c r="L4" s="10">
        <f>L59</f>
        <v>0</v>
      </c>
      <c r="M4" s="10">
        <f>M59</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K30</f>
        <v>1</v>
      </c>
      <c r="L6" s="10">
        <f>L30</f>
        <v>0</v>
      </c>
      <c r="M6" s="10">
        <f>M30</f>
        <v>0</v>
      </c>
    </row>
    <row r="7" spans="1:13" x14ac:dyDescent="0.25">
      <c r="A7" s="11"/>
      <c r="B7" s="11"/>
      <c r="C7" s="11"/>
      <c r="D7" s="16"/>
      <c r="E7" s="11"/>
      <c r="F7" s="11"/>
      <c r="G7" s="11"/>
      <c r="H7" s="11"/>
      <c r="I7" s="11"/>
      <c r="J7" s="11"/>
      <c r="K7" s="11"/>
      <c r="L7" s="11"/>
      <c r="M7" s="11"/>
    </row>
    <row r="8" spans="1:13" x14ac:dyDescent="0.25">
      <c r="A8" s="14" t="s">
        <v>22</v>
      </c>
      <c r="B8" s="14" t="s">
        <v>24</v>
      </c>
      <c r="C8" s="14" t="s">
        <v>18</v>
      </c>
      <c r="D8" s="24" t="s">
        <v>23</v>
      </c>
      <c r="E8" s="11"/>
      <c r="F8" s="11"/>
      <c r="G8" s="11"/>
      <c r="H8" s="11"/>
      <c r="I8" s="11"/>
      <c r="J8" s="11"/>
      <c r="K8" s="15">
        <f>K13</f>
        <v>3</v>
      </c>
      <c r="L8" s="15">
        <f>L13</f>
        <v>0</v>
      </c>
      <c r="M8" s="15">
        <f>M13</f>
        <v>0</v>
      </c>
    </row>
    <row r="9" spans="1:13" ht="90" x14ac:dyDescent="0.25">
      <c r="A9" s="11"/>
      <c r="B9" s="11"/>
      <c r="C9" s="11"/>
      <c r="D9" s="16" t="s">
        <v>25</v>
      </c>
      <c r="E9" s="11"/>
      <c r="F9" s="11"/>
      <c r="G9" s="11"/>
      <c r="H9" s="11"/>
      <c r="I9" s="11"/>
      <c r="J9" s="11"/>
      <c r="K9" s="11"/>
      <c r="L9" s="11"/>
      <c r="M9" s="11"/>
    </row>
    <row r="10" spans="1:13" x14ac:dyDescent="0.25">
      <c r="A10" s="11"/>
      <c r="B10" s="11"/>
      <c r="C10" s="11"/>
      <c r="D10" s="16"/>
      <c r="E10" s="14" t="s">
        <v>26</v>
      </c>
      <c r="F10" s="11">
        <v>1</v>
      </c>
      <c r="G10" s="17">
        <v>0</v>
      </c>
      <c r="H10" s="17">
        <v>0</v>
      </c>
      <c r="I10" s="17">
        <v>0</v>
      </c>
      <c r="J10" s="15">
        <f>F10*(G10+ (G10= 0))*(H10+ (H10= 0))*(I10+ (I10= 0))</f>
        <v>1</v>
      </c>
      <c r="K10" s="11"/>
      <c r="L10" s="11"/>
      <c r="M10" s="11"/>
    </row>
    <row r="11" spans="1:13" x14ac:dyDescent="0.25">
      <c r="A11" s="11"/>
      <c r="B11" s="11"/>
      <c r="C11" s="11"/>
      <c r="D11" s="16"/>
      <c r="E11" s="14" t="s">
        <v>27</v>
      </c>
      <c r="F11" s="11">
        <v>1</v>
      </c>
      <c r="G11" s="17">
        <v>0</v>
      </c>
      <c r="H11" s="17">
        <v>0</v>
      </c>
      <c r="I11" s="17">
        <v>0</v>
      </c>
      <c r="J11" s="15">
        <f>F11*(G11+ (G11= 0))*(H11+ (H11= 0))*(I11+ (I11= 0))</f>
        <v>1</v>
      </c>
      <c r="K11" s="11"/>
      <c r="L11" s="11"/>
      <c r="M11" s="11"/>
    </row>
    <row r="12" spans="1:13" x14ac:dyDescent="0.25">
      <c r="A12" s="11"/>
      <c r="B12" s="11"/>
      <c r="C12" s="11"/>
      <c r="D12" s="16"/>
      <c r="E12" s="14" t="s">
        <v>28</v>
      </c>
      <c r="F12" s="11">
        <v>1</v>
      </c>
      <c r="G12" s="17">
        <v>0</v>
      </c>
      <c r="H12" s="17">
        <v>0</v>
      </c>
      <c r="I12" s="17">
        <v>0</v>
      </c>
      <c r="J12" s="15">
        <f>F12*(G12+ (G12= 0))*(H12+ (H12= 0))*(I12+ (I12= 0))</f>
        <v>1</v>
      </c>
      <c r="K12" s="11"/>
      <c r="L12" s="11"/>
      <c r="M12" s="11"/>
    </row>
    <row r="13" spans="1:13" x14ac:dyDescent="0.25">
      <c r="A13" s="11"/>
      <c r="B13" s="11"/>
      <c r="C13" s="11"/>
      <c r="D13" s="16"/>
      <c r="E13" s="11"/>
      <c r="F13" s="11"/>
      <c r="G13" s="11"/>
      <c r="H13" s="11"/>
      <c r="I13" s="11"/>
      <c r="J13" s="18" t="s">
        <v>29</v>
      </c>
      <c r="K13" s="10">
        <f>SUM(J10:J12)</f>
        <v>3</v>
      </c>
      <c r="L13" s="17">
        <v>0</v>
      </c>
      <c r="M13" s="10">
        <f>ROUND(L13*K13,2)</f>
        <v>0</v>
      </c>
    </row>
    <row r="14" spans="1:13" x14ac:dyDescent="0.25">
      <c r="A14" s="19"/>
      <c r="B14" s="19"/>
      <c r="C14" s="19"/>
      <c r="D14" s="25"/>
      <c r="E14" s="19"/>
      <c r="F14" s="19"/>
      <c r="G14" s="19"/>
      <c r="H14" s="19"/>
      <c r="I14" s="19"/>
      <c r="J14" s="19"/>
      <c r="K14" s="19"/>
      <c r="L14" s="19"/>
      <c r="M14" s="19"/>
    </row>
    <row r="15" spans="1:13" x14ac:dyDescent="0.25">
      <c r="A15" s="14" t="s">
        <v>30</v>
      </c>
      <c r="B15" s="14" t="s">
        <v>24</v>
      </c>
      <c r="C15" s="14" t="s">
        <v>18</v>
      </c>
      <c r="D15" s="24" t="s">
        <v>31</v>
      </c>
      <c r="E15" s="11"/>
      <c r="F15" s="11"/>
      <c r="G15" s="11"/>
      <c r="H15" s="11"/>
      <c r="I15" s="11"/>
      <c r="J15" s="11"/>
      <c r="K15" s="17">
        <v>0</v>
      </c>
      <c r="L15" s="17">
        <v>0</v>
      </c>
      <c r="M15" s="15">
        <f>ROUND(K15*L15,2)</f>
        <v>0</v>
      </c>
    </row>
    <row r="16" spans="1:13" ht="78.75" x14ac:dyDescent="0.25">
      <c r="A16" s="11"/>
      <c r="B16" s="11"/>
      <c r="C16" s="11"/>
      <c r="D16" s="16" t="s">
        <v>32</v>
      </c>
      <c r="E16" s="11"/>
      <c r="F16" s="11"/>
      <c r="G16" s="11"/>
      <c r="H16" s="11"/>
      <c r="I16" s="11"/>
      <c r="J16" s="11"/>
      <c r="K16" s="11"/>
      <c r="L16" s="11"/>
      <c r="M16" s="11"/>
    </row>
    <row r="17" spans="1:13" x14ac:dyDescent="0.25">
      <c r="A17" s="14" t="s">
        <v>33</v>
      </c>
      <c r="B17" s="14" t="s">
        <v>24</v>
      </c>
      <c r="C17" s="14" t="s">
        <v>18</v>
      </c>
      <c r="D17" s="24" t="s">
        <v>34</v>
      </c>
      <c r="E17" s="11"/>
      <c r="F17" s="11"/>
      <c r="G17" s="11"/>
      <c r="H17" s="11"/>
      <c r="I17" s="11"/>
      <c r="J17" s="11"/>
      <c r="K17" s="15">
        <f>K21</f>
        <v>2</v>
      </c>
      <c r="L17" s="15">
        <f>L21</f>
        <v>0</v>
      </c>
      <c r="M17" s="15">
        <f>M21</f>
        <v>0</v>
      </c>
    </row>
    <row r="18" spans="1:13" ht="56.25" x14ac:dyDescent="0.25">
      <c r="A18" s="11"/>
      <c r="B18" s="11"/>
      <c r="C18" s="11"/>
      <c r="D18" s="16" t="s">
        <v>35</v>
      </c>
      <c r="E18" s="11"/>
      <c r="F18" s="11"/>
      <c r="G18" s="11"/>
      <c r="H18" s="11"/>
      <c r="I18" s="11"/>
      <c r="J18" s="11"/>
      <c r="K18" s="11"/>
      <c r="L18" s="11"/>
      <c r="M18" s="11"/>
    </row>
    <row r="19" spans="1:13" x14ac:dyDescent="0.25">
      <c r="A19" s="11"/>
      <c r="B19" s="11"/>
      <c r="C19" s="11"/>
      <c r="D19" s="16"/>
      <c r="E19" s="14" t="s">
        <v>36</v>
      </c>
      <c r="F19" s="11">
        <v>1</v>
      </c>
      <c r="G19" s="17">
        <v>0</v>
      </c>
      <c r="H19" s="17">
        <v>0</v>
      </c>
      <c r="I19" s="17">
        <v>0</v>
      </c>
      <c r="J19" s="15">
        <f>F19*(G19+ (G19= 0))*(H19+ (H19= 0))*(I19+ (I19= 0))</f>
        <v>1</v>
      </c>
      <c r="K19" s="11"/>
      <c r="L19" s="11"/>
      <c r="M19" s="11"/>
    </row>
    <row r="20" spans="1:13" x14ac:dyDescent="0.25">
      <c r="A20" s="11"/>
      <c r="B20" s="11"/>
      <c r="C20" s="11"/>
      <c r="D20" s="16"/>
      <c r="E20" s="14" t="s">
        <v>37</v>
      </c>
      <c r="F20" s="11">
        <v>1</v>
      </c>
      <c r="G20" s="17">
        <v>0</v>
      </c>
      <c r="H20" s="17">
        <v>0</v>
      </c>
      <c r="I20" s="17">
        <v>0</v>
      </c>
      <c r="J20" s="15">
        <f>F20*(G20+ (G20= 0))*(H20+ (H20= 0))*(I20+ (I20= 0))</f>
        <v>1</v>
      </c>
      <c r="K20" s="11"/>
      <c r="L20" s="11"/>
      <c r="M20" s="11"/>
    </row>
    <row r="21" spans="1:13" x14ac:dyDescent="0.25">
      <c r="A21" s="11"/>
      <c r="B21" s="11"/>
      <c r="C21" s="11"/>
      <c r="D21" s="16"/>
      <c r="E21" s="11"/>
      <c r="F21" s="11"/>
      <c r="G21" s="11"/>
      <c r="H21" s="11"/>
      <c r="I21" s="11"/>
      <c r="J21" s="18" t="s">
        <v>33</v>
      </c>
      <c r="K21" s="10">
        <f>SUM(J19:J20)</f>
        <v>2</v>
      </c>
      <c r="L21" s="17">
        <v>0</v>
      </c>
      <c r="M21" s="10">
        <f>ROUND(L21*K21,2)</f>
        <v>0</v>
      </c>
    </row>
    <row r="22" spans="1:13" x14ac:dyDescent="0.25">
      <c r="A22" s="19"/>
      <c r="B22" s="19"/>
      <c r="C22" s="19"/>
      <c r="D22" s="25"/>
      <c r="E22" s="19"/>
      <c r="F22" s="19"/>
      <c r="G22" s="19"/>
      <c r="H22" s="19"/>
      <c r="I22" s="19"/>
      <c r="J22" s="19"/>
      <c r="K22" s="19"/>
      <c r="L22" s="19"/>
      <c r="M22" s="19"/>
    </row>
    <row r="23" spans="1:13" x14ac:dyDescent="0.25">
      <c r="A23" s="14" t="s">
        <v>38</v>
      </c>
      <c r="B23" s="14" t="s">
        <v>24</v>
      </c>
      <c r="C23" s="14" t="s">
        <v>18</v>
      </c>
      <c r="D23" s="24" t="s">
        <v>39</v>
      </c>
      <c r="E23" s="11"/>
      <c r="F23" s="11"/>
      <c r="G23" s="11"/>
      <c r="H23" s="11"/>
      <c r="I23" s="11"/>
      <c r="J23" s="11"/>
      <c r="K23" s="17">
        <v>0</v>
      </c>
      <c r="L23" s="17">
        <v>0</v>
      </c>
      <c r="M23" s="15">
        <f>ROUND(K23*L23,2)</f>
        <v>0</v>
      </c>
    </row>
    <row r="24" spans="1:13" ht="56.25" x14ac:dyDescent="0.25">
      <c r="A24" s="11"/>
      <c r="B24" s="11"/>
      <c r="C24" s="11"/>
      <c r="D24" s="16" t="s">
        <v>40</v>
      </c>
      <c r="E24" s="11"/>
      <c r="F24" s="11"/>
      <c r="G24" s="11"/>
      <c r="H24" s="11"/>
      <c r="I24" s="11"/>
      <c r="J24" s="11"/>
      <c r="K24" s="11"/>
      <c r="L24" s="11"/>
      <c r="M24" s="11"/>
    </row>
    <row r="25" spans="1:13" x14ac:dyDescent="0.25">
      <c r="A25" s="14" t="s">
        <v>41</v>
      </c>
      <c r="B25" s="14" t="s">
        <v>24</v>
      </c>
      <c r="C25" s="14" t="s">
        <v>18</v>
      </c>
      <c r="D25" s="24" t="s">
        <v>42</v>
      </c>
      <c r="E25" s="11"/>
      <c r="F25" s="11"/>
      <c r="G25" s="11"/>
      <c r="H25" s="11"/>
      <c r="I25" s="11"/>
      <c r="J25" s="11"/>
      <c r="K25" s="15">
        <f>K28</f>
        <v>1</v>
      </c>
      <c r="L25" s="15">
        <f>L28</f>
        <v>0</v>
      </c>
      <c r="M25" s="15">
        <f>M28</f>
        <v>0</v>
      </c>
    </row>
    <row r="26" spans="1:13" ht="33.75" x14ac:dyDescent="0.25">
      <c r="A26" s="11"/>
      <c r="B26" s="11"/>
      <c r="C26" s="11"/>
      <c r="D26" s="16" t="s">
        <v>43</v>
      </c>
      <c r="E26" s="11"/>
      <c r="F26" s="11"/>
      <c r="G26" s="11"/>
      <c r="H26" s="11"/>
      <c r="I26" s="11"/>
      <c r="J26" s="11"/>
      <c r="K26" s="11"/>
      <c r="L26" s="11"/>
      <c r="M26" s="11"/>
    </row>
    <row r="27" spans="1:13" x14ac:dyDescent="0.25">
      <c r="A27" s="11"/>
      <c r="B27" s="11"/>
      <c r="C27" s="11"/>
      <c r="D27" s="16"/>
      <c r="E27" s="14" t="s">
        <v>44</v>
      </c>
      <c r="F27" s="11">
        <v>1</v>
      </c>
      <c r="G27" s="17">
        <v>0</v>
      </c>
      <c r="H27" s="17">
        <v>0</v>
      </c>
      <c r="I27" s="17">
        <v>0</v>
      </c>
      <c r="J27" s="15">
        <f>F27*(G27+ (G27= 0))*(H27+ (H27= 0))*(I27+ (I27= 0))</f>
        <v>1</v>
      </c>
      <c r="K27" s="11"/>
      <c r="L27" s="11"/>
      <c r="M27" s="11"/>
    </row>
    <row r="28" spans="1:13" x14ac:dyDescent="0.25">
      <c r="A28" s="11"/>
      <c r="B28" s="11"/>
      <c r="C28" s="11"/>
      <c r="D28" s="16"/>
      <c r="E28" s="11"/>
      <c r="F28" s="11"/>
      <c r="G28" s="11"/>
      <c r="H28" s="11"/>
      <c r="I28" s="11"/>
      <c r="J28" s="18" t="s">
        <v>45</v>
      </c>
      <c r="K28" s="10">
        <f>SUM(J27:J27)</f>
        <v>1</v>
      </c>
      <c r="L28" s="17">
        <v>0</v>
      </c>
      <c r="M28" s="10">
        <f>ROUND(L28*K28,2)</f>
        <v>0</v>
      </c>
    </row>
    <row r="29" spans="1:13" x14ac:dyDescent="0.25">
      <c r="A29" s="19"/>
      <c r="B29" s="19"/>
      <c r="C29" s="19"/>
      <c r="D29" s="25"/>
      <c r="E29" s="19"/>
      <c r="F29" s="19"/>
      <c r="G29" s="19"/>
      <c r="H29" s="19"/>
      <c r="I29" s="19"/>
      <c r="J29" s="19"/>
      <c r="K29" s="19"/>
      <c r="L29" s="19"/>
      <c r="M29" s="19"/>
    </row>
    <row r="30" spans="1:13" x14ac:dyDescent="0.25">
      <c r="A30" s="11"/>
      <c r="B30" s="11"/>
      <c r="C30" s="11"/>
      <c r="D30" s="16"/>
      <c r="E30" s="11"/>
      <c r="F30" s="11"/>
      <c r="G30" s="11"/>
      <c r="H30" s="11"/>
      <c r="I30" s="11"/>
      <c r="J30" s="18" t="s">
        <v>46</v>
      </c>
      <c r="K30" s="17">
        <v>1</v>
      </c>
      <c r="L30" s="10">
        <f>M13+M15+M21+M23+M28</f>
        <v>0</v>
      </c>
      <c r="M30" s="10">
        <f>ROUND(L30*K30,2)</f>
        <v>0</v>
      </c>
    </row>
    <row r="31" spans="1:13" x14ac:dyDescent="0.25">
      <c r="A31" s="19"/>
      <c r="B31" s="19"/>
      <c r="C31" s="19"/>
      <c r="D31" s="25"/>
      <c r="E31" s="19"/>
      <c r="F31" s="19"/>
      <c r="G31" s="19"/>
      <c r="H31" s="19"/>
      <c r="I31" s="19"/>
      <c r="J31" s="19"/>
      <c r="K31" s="19"/>
      <c r="L31" s="19"/>
      <c r="M31" s="19"/>
    </row>
    <row r="32" spans="1:13" x14ac:dyDescent="0.25">
      <c r="A32" s="12" t="s">
        <v>47</v>
      </c>
      <c r="B32" s="12" t="s">
        <v>17</v>
      </c>
      <c r="C32" s="12" t="s">
        <v>18</v>
      </c>
      <c r="D32" s="23" t="s">
        <v>48</v>
      </c>
      <c r="E32" s="13"/>
      <c r="F32" s="13"/>
      <c r="G32" s="13"/>
      <c r="H32" s="13"/>
      <c r="I32" s="13"/>
      <c r="J32" s="13"/>
      <c r="K32" s="10">
        <f>K57</f>
        <v>1</v>
      </c>
      <c r="L32" s="10">
        <f>L57</f>
        <v>0</v>
      </c>
      <c r="M32" s="10">
        <f>M57</f>
        <v>0</v>
      </c>
    </row>
    <row r="33" spans="1:13" x14ac:dyDescent="0.25">
      <c r="A33" s="11"/>
      <c r="B33" s="11"/>
      <c r="C33" s="11"/>
      <c r="D33" s="16"/>
      <c r="E33" s="11"/>
      <c r="F33" s="11"/>
      <c r="G33" s="11"/>
      <c r="H33" s="11"/>
      <c r="I33" s="11"/>
      <c r="J33" s="11"/>
      <c r="K33" s="11"/>
      <c r="L33" s="11"/>
      <c r="M33" s="11"/>
    </row>
    <row r="34" spans="1:13" x14ac:dyDescent="0.25">
      <c r="A34" s="14" t="s">
        <v>49</v>
      </c>
      <c r="B34" s="14" t="s">
        <v>24</v>
      </c>
      <c r="C34" s="14" t="s">
        <v>51</v>
      </c>
      <c r="D34" s="24" t="s">
        <v>50</v>
      </c>
      <c r="E34" s="11"/>
      <c r="F34" s="11"/>
      <c r="G34" s="11"/>
      <c r="H34" s="11"/>
      <c r="I34" s="11"/>
      <c r="J34" s="11"/>
      <c r="K34" s="15">
        <f>K44</f>
        <v>8</v>
      </c>
      <c r="L34" s="15">
        <f>L44</f>
        <v>0</v>
      </c>
      <c r="M34" s="15">
        <f>M44</f>
        <v>0</v>
      </c>
    </row>
    <row r="35" spans="1:13" ht="56.25" x14ac:dyDescent="0.25">
      <c r="A35" s="11"/>
      <c r="B35" s="11"/>
      <c r="C35" s="11"/>
      <c r="D35" s="16" t="s">
        <v>52</v>
      </c>
      <c r="E35" s="11"/>
      <c r="F35" s="11"/>
      <c r="G35" s="11"/>
      <c r="H35" s="11"/>
      <c r="I35" s="11"/>
      <c r="J35" s="11"/>
      <c r="K35" s="11"/>
      <c r="L35" s="11"/>
      <c r="M35" s="11"/>
    </row>
    <row r="36" spans="1:13" x14ac:dyDescent="0.25">
      <c r="A36" s="11"/>
      <c r="B36" s="11"/>
      <c r="C36" s="11"/>
      <c r="D36" s="16"/>
      <c r="E36" s="14" t="s">
        <v>53</v>
      </c>
      <c r="F36" s="11">
        <v>1</v>
      </c>
      <c r="G36" s="17">
        <v>0</v>
      </c>
      <c r="H36" s="17">
        <v>0</v>
      </c>
      <c r="I36" s="17">
        <v>0</v>
      </c>
      <c r="J36" s="15">
        <f>F36*(G36+ (G36= 0))*(H36+ (H36= 0))*(I36+ (I36= 0))</f>
        <v>1</v>
      </c>
      <c r="K36" s="11"/>
      <c r="L36" s="11"/>
      <c r="M36" s="11"/>
    </row>
    <row r="37" spans="1:13" x14ac:dyDescent="0.25">
      <c r="A37" s="11"/>
      <c r="B37" s="11"/>
      <c r="C37" s="11"/>
      <c r="D37" s="16"/>
      <c r="E37" s="14" t="s">
        <v>54</v>
      </c>
      <c r="F37" s="11">
        <v>1</v>
      </c>
      <c r="G37" s="17">
        <v>0</v>
      </c>
      <c r="H37" s="17">
        <v>0</v>
      </c>
      <c r="I37" s="17">
        <v>0</v>
      </c>
      <c r="J37" s="15">
        <f>F37*(G37+ (G37= 0))*(H37+ (H37= 0))*(I37+ (I37= 0))</f>
        <v>1</v>
      </c>
      <c r="K37" s="11"/>
      <c r="L37" s="11"/>
      <c r="M37" s="11"/>
    </row>
    <row r="38" spans="1:13" x14ac:dyDescent="0.25">
      <c r="A38" s="11"/>
      <c r="B38" s="11"/>
      <c r="C38" s="11"/>
      <c r="D38" s="16"/>
      <c r="E38" s="14" t="s">
        <v>55</v>
      </c>
      <c r="F38" s="11">
        <v>1</v>
      </c>
      <c r="G38" s="17">
        <v>0</v>
      </c>
      <c r="H38" s="17">
        <v>0</v>
      </c>
      <c r="I38" s="17">
        <v>0</v>
      </c>
      <c r="J38" s="15">
        <f>F38*(G38+ (G38= 0))*(H38+ (H38= 0))*(I38+ (I38= 0))</f>
        <v>1</v>
      </c>
      <c r="K38" s="11"/>
      <c r="L38" s="11"/>
      <c r="M38" s="11"/>
    </row>
    <row r="39" spans="1:13" x14ac:dyDescent="0.25">
      <c r="A39" s="11"/>
      <c r="B39" s="11"/>
      <c r="C39" s="11"/>
      <c r="D39" s="16"/>
      <c r="E39" s="14" t="s">
        <v>56</v>
      </c>
      <c r="F39" s="11">
        <v>1</v>
      </c>
      <c r="G39" s="17">
        <v>0</v>
      </c>
      <c r="H39" s="17">
        <v>0</v>
      </c>
      <c r="I39" s="17">
        <v>0</v>
      </c>
      <c r="J39" s="15">
        <f>F39*(G39+ (G39= 0))*(H39+ (H39= 0))*(I39+ (I39= 0))</f>
        <v>1</v>
      </c>
      <c r="K39" s="11"/>
      <c r="L39" s="11"/>
      <c r="M39" s="11"/>
    </row>
    <row r="40" spans="1:13" x14ac:dyDescent="0.25">
      <c r="A40" s="11"/>
      <c r="B40" s="11"/>
      <c r="C40" s="11"/>
      <c r="D40" s="16"/>
      <c r="E40" s="14" t="s">
        <v>57</v>
      </c>
      <c r="F40" s="11">
        <v>1</v>
      </c>
      <c r="G40" s="17">
        <v>0</v>
      </c>
      <c r="H40" s="17">
        <v>0</v>
      </c>
      <c r="I40" s="17">
        <v>0</v>
      </c>
      <c r="J40" s="15">
        <f>F40*(G40+ (G40= 0))*(H40+ (H40= 0))*(I40+ (I40= 0))</f>
        <v>1</v>
      </c>
      <c r="K40" s="11"/>
      <c r="L40" s="11"/>
      <c r="M40" s="11"/>
    </row>
    <row r="41" spans="1:13" x14ac:dyDescent="0.25">
      <c r="A41" s="11"/>
      <c r="B41" s="11"/>
      <c r="C41" s="11"/>
      <c r="D41" s="16"/>
      <c r="E41" s="14" t="s">
        <v>58</v>
      </c>
      <c r="F41" s="11">
        <v>1</v>
      </c>
      <c r="G41" s="17">
        <v>0</v>
      </c>
      <c r="H41" s="17">
        <v>0</v>
      </c>
      <c r="I41" s="17">
        <v>0</v>
      </c>
      <c r="J41" s="15">
        <f>F41*(G41+ (G41= 0))*(H41+ (H41= 0))*(I41+ (I41= 0))</f>
        <v>1</v>
      </c>
      <c r="K41" s="11"/>
      <c r="L41" s="11"/>
      <c r="M41" s="11"/>
    </row>
    <row r="42" spans="1:13" x14ac:dyDescent="0.25">
      <c r="A42" s="11"/>
      <c r="B42" s="11"/>
      <c r="C42" s="11"/>
      <c r="D42" s="16"/>
      <c r="E42" s="14" t="s">
        <v>59</v>
      </c>
      <c r="F42" s="11">
        <v>1</v>
      </c>
      <c r="G42" s="17">
        <v>0</v>
      </c>
      <c r="H42" s="17">
        <v>0</v>
      </c>
      <c r="I42" s="17">
        <v>0</v>
      </c>
      <c r="J42" s="15">
        <f>F42*(G42+ (G42= 0))*(H42+ (H42= 0))*(I42+ (I42= 0))</f>
        <v>1</v>
      </c>
      <c r="K42" s="11"/>
      <c r="L42" s="11"/>
      <c r="M42" s="11"/>
    </row>
    <row r="43" spans="1:13" x14ac:dyDescent="0.25">
      <c r="A43" s="11"/>
      <c r="B43" s="11"/>
      <c r="C43" s="11"/>
      <c r="D43" s="16"/>
      <c r="E43" s="14" t="s">
        <v>60</v>
      </c>
      <c r="F43" s="11">
        <v>1</v>
      </c>
      <c r="G43" s="17">
        <v>0</v>
      </c>
      <c r="H43" s="17">
        <v>0</v>
      </c>
      <c r="I43" s="17">
        <v>0</v>
      </c>
      <c r="J43" s="15">
        <f>F43*(G43+ (G43= 0))*(H43+ (H43= 0))*(I43+ (I43= 0))</f>
        <v>1</v>
      </c>
      <c r="K43" s="11"/>
      <c r="L43" s="11"/>
      <c r="M43" s="11"/>
    </row>
    <row r="44" spans="1:13" x14ac:dyDescent="0.25">
      <c r="A44" s="11"/>
      <c r="B44" s="11"/>
      <c r="C44" s="11"/>
      <c r="D44" s="16"/>
      <c r="E44" s="11"/>
      <c r="F44" s="11"/>
      <c r="G44" s="11"/>
      <c r="H44" s="11"/>
      <c r="I44" s="11"/>
      <c r="J44" s="18" t="s">
        <v>61</v>
      </c>
      <c r="K44" s="10">
        <f>SUM(J36:J43)</f>
        <v>8</v>
      </c>
      <c r="L44" s="17">
        <v>0</v>
      </c>
      <c r="M44" s="10">
        <f>ROUND(L44*K44,2)</f>
        <v>0</v>
      </c>
    </row>
    <row r="45" spans="1:13" x14ac:dyDescent="0.25">
      <c r="A45" s="19"/>
      <c r="B45" s="19"/>
      <c r="C45" s="19"/>
      <c r="D45" s="25"/>
      <c r="E45" s="19"/>
      <c r="F45" s="19"/>
      <c r="G45" s="19"/>
      <c r="H45" s="19"/>
      <c r="I45" s="19"/>
      <c r="J45" s="19"/>
      <c r="K45" s="19"/>
      <c r="L45" s="19"/>
      <c r="M45" s="19"/>
    </row>
    <row r="46" spans="1:13" x14ac:dyDescent="0.25">
      <c r="A46" s="14" t="s">
        <v>62</v>
      </c>
      <c r="B46" s="14" t="s">
        <v>24</v>
      </c>
      <c r="C46" s="14" t="s">
        <v>6</v>
      </c>
      <c r="D46" s="24" t="s">
        <v>63</v>
      </c>
      <c r="E46" s="11"/>
      <c r="F46" s="11"/>
      <c r="G46" s="11"/>
      <c r="H46" s="11"/>
      <c r="I46" s="11"/>
      <c r="J46" s="11"/>
      <c r="K46" s="15">
        <f>K50</f>
        <v>3</v>
      </c>
      <c r="L46" s="15">
        <f>L50</f>
        <v>0</v>
      </c>
      <c r="M46" s="15">
        <f>M50</f>
        <v>0</v>
      </c>
    </row>
    <row r="47" spans="1:13" ht="22.5" x14ac:dyDescent="0.25">
      <c r="A47" s="11"/>
      <c r="B47" s="11"/>
      <c r="C47" s="11"/>
      <c r="D47" s="16" t="s">
        <v>64</v>
      </c>
      <c r="E47" s="11"/>
      <c r="F47" s="11"/>
      <c r="G47" s="11"/>
      <c r="H47" s="11"/>
      <c r="I47" s="11"/>
      <c r="J47" s="11"/>
      <c r="K47" s="11"/>
      <c r="L47" s="11"/>
      <c r="M47" s="11"/>
    </row>
    <row r="48" spans="1:13" x14ac:dyDescent="0.25">
      <c r="A48" s="11"/>
      <c r="B48" s="11"/>
      <c r="C48" s="11"/>
      <c r="D48" s="16"/>
      <c r="E48" s="14" t="s">
        <v>65</v>
      </c>
      <c r="F48" s="11">
        <v>2</v>
      </c>
      <c r="G48" s="17">
        <v>0</v>
      </c>
      <c r="H48" s="17">
        <v>0</v>
      </c>
      <c r="I48" s="17">
        <v>0</v>
      </c>
      <c r="J48" s="15">
        <f>F48*(G48+ (G48= 0))*(H48+ (H48= 0))*(I48+ (I48= 0))</f>
        <v>2</v>
      </c>
      <c r="K48" s="11"/>
      <c r="L48" s="11"/>
      <c r="M48" s="11"/>
    </row>
    <row r="49" spans="1:13" x14ac:dyDescent="0.25">
      <c r="A49" s="11"/>
      <c r="B49" s="11"/>
      <c r="C49" s="11"/>
      <c r="D49" s="16"/>
      <c r="E49" s="14" t="s">
        <v>66</v>
      </c>
      <c r="F49" s="11">
        <v>1</v>
      </c>
      <c r="G49" s="17">
        <v>0</v>
      </c>
      <c r="H49" s="17">
        <v>0</v>
      </c>
      <c r="I49" s="17">
        <v>0</v>
      </c>
      <c r="J49" s="15">
        <f>F49*(G49+ (G49= 0))*(H49+ (H49= 0))*(I49+ (I49= 0))</f>
        <v>1</v>
      </c>
      <c r="K49" s="11"/>
      <c r="L49" s="11"/>
      <c r="M49" s="11"/>
    </row>
    <row r="50" spans="1:13" x14ac:dyDescent="0.25">
      <c r="A50" s="11"/>
      <c r="B50" s="11"/>
      <c r="C50" s="11"/>
      <c r="D50" s="16"/>
      <c r="E50" s="11"/>
      <c r="F50" s="11"/>
      <c r="G50" s="11"/>
      <c r="H50" s="11"/>
      <c r="I50" s="11"/>
      <c r="J50" s="18" t="s">
        <v>67</v>
      </c>
      <c r="K50" s="10">
        <f>SUM(J48:J49)</f>
        <v>3</v>
      </c>
      <c r="L50" s="17">
        <v>0</v>
      </c>
      <c r="M50" s="10">
        <f>ROUND(L50*K50,2)</f>
        <v>0</v>
      </c>
    </row>
    <row r="51" spans="1:13" x14ac:dyDescent="0.25">
      <c r="A51" s="19"/>
      <c r="B51" s="19"/>
      <c r="C51" s="19"/>
      <c r="D51" s="25"/>
      <c r="E51" s="19"/>
      <c r="F51" s="19"/>
      <c r="G51" s="19"/>
      <c r="H51" s="19"/>
      <c r="I51" s="19"/>
      <c r="J51" s="19"/>
      <c r="K51" s="19"/>
      <c r="L51" s="19"/>
      <c r="M51" s="19"/>
    </row>
    <row r="52" spans="1:13" x14ac:dyDescent="0.25">
      <c r="A52" s="14" t="s">
        <v>68</v>
      </c>
      <c r="B52" s="14" t="s">
        <v>24</v>
      </c>
      <c r="C52" s="14" t="s">
        <v>6</v>
      </c>
      <c r="D52" s="24" t="s">
        <v>69</v>
      </c>
      <c r="E52" s="11"/>
      <c r="F52" s="11"/>
      <c r="G52" s="11"/>
      <c r="H52" s="11"/>
      <c r="I52" s="11"/>
      <c r="J52" s="11"/>
      <c r="K52" s="15">
        <f>K55</f>
        <v>1</v>
      </c>
      <c r="L52" s="15">
        <f>L55</f>
        <v>0</v>
      </c>
      <c r="M52" s="15">
        <f>M55</f>
        <v>0</v>
      </c>
    </row>
    <row r="53" spans="1:13" ht="33.75" x14ac:dyDescent="0.25">
      <c r="A53" s="11"/>
      <c r="B53" s="11"/>
      <c r="C53" s="11"/>
      <c r="D53" s="16" t="s">
        <v>70</v>
      </c>
      <c r="E53" s="11"/>
      <c r="F53" s="11"/>
      <c r="G53" s="11"/>
      <c r="H53" s="11"/>
      <c r="I53" s="11"/>
      <c r="J53" s="11"/>
      <c r="K53" s="11"/>
      <c r="L53" s="11"/>
      <c r="M53" s="11"/>
    </row>
    <row r="54" spans="1:13" x14ac:dyDescent="0.25">
      <c r="A54" s="11"/>
      <c r="B54" s="11"/>
      <c r="C54" s="11"/>
      <c r="D54" s="16"/>
      <c r="E54" s="14" t="s">
        <v>21</v>
      </c>
      <c r="F54" s="11">
        <v>1</v>
      </c>
      <c r="G54" s="17">
        <v>0</v>
      </c>
      <c r="H54" s="17">
        <v>0</v>
      </c>
      <c r="I54" s="17">
        <v>0</v>
      </c>
      <c r="J54" s="15">
        <f>F54*(G54+ (G54= 0))*(H54+ (H54= 0))*(I54+ (I54= 0))</f>
        <v>1</v>
      </c>
      <c r="K54" s="11"/>
      <c r="L54" s="11"/>
      <c r="M54" s="11"/>
    </row>
    <row r="55" spans="1:13" x14ac:dyDescent="0.25">
      <c r="A55" s="11"/>
      <c r="B55" s="11"/>
      <c r="C55" s="11"/>
      <c r="D55" s="16"/>
      <c r="E55" s="11"/>
      <c r="F55" s="11"/>
      <c r="G55" s="11"/>
      <c r="H55" s="11"/>
      <c r="I55" s="11"/>
      <c r="J55" s="18" t="s">
        <v>71</v>
      </c>
      <c r="K55" s="10">
        <f>SUM(J54:J54)</f>
        <v>1</v>
      </c>
      <c r="L55" s="17">
        <v>0</v>
      </c>
      <c r="M55" s="10">
        <f>ROUND(L55*K55,2)</f>
        <v>0</v>
      </c>
    </row>
    <row r="56" spans="1:13" x14ac:dyDescent="0.25">
      <c r="A56" s="19"/>
      <c r="B56" s="19"/>
      <c r="C56" s="19"/>
      <c r="D56" s="25"/>
      <c r="E56" s="19"/>
      <c r="F56" s="19"/>
      <c r="G56" s="19"/>
      <c r="H56" s="19"/>
      <c r="I56" s="19"/>
      <c r="J56" s="19"/>
      <c r="K56" s="19"/>
      <c r="L56" s="19"/>
      <c r="M56" s="19"/>
    </row>
    <row r="57" spans="1:13" x14ac:dyDescent="0.25">
      <c r="A57" s="11"/>
      <c r="B57" s="11"/>
      <c r="C57" s="11"/>
      <c r="D57" s="16"/>
      <c r="E57" s="11"/>
      <c r="F57" s="11"/>
      <c r="G57" s="11"/>
      <c r="H57" s="11"/>
      <c r="I57" s="11"/>
      <c r="J57" s="18" t="s">
        <v>72</v>
      </c>
      <c r="K57" s="17">
        <v>1</v>
      </c>
      <c r="L57" s="10">
        <f>M44+M50+M55</f>
        <v>0</v>
      </c>
      <c r="M57" s="10">
        <f>ROUND(L57*K57,2)</f>
        <v>0</v>
      </c>
    </row>
    <row r="58" spans="1:13" x14ac:dyDescent="0.25">
      <c r="A58" s="19"/>
      <c r="B58" s="19"/>
      <c r="C58" s="19"/>
      <c r="D58" s="25"/>
      <c r="E58" s="19"/>
      <c r="F58" s="19"/>
      <c r="G58" s="19"/>
      <c r="H58" s="19"/>
      <c r="I58" s="19"/>
      <c r="J58" s="19"/>
      <c r="K58" s="19"/>
      <c r="L58" s="19"/>
      <c r="M58" s="19"/>
    </row>
    <row r="59" spans="1:13" x14ac:dyDescent="0.25">
      <c r="A59" s="11"/>
      <c r="B59" s="11"/>
      <c r="C59" s="11"/>
      <c r="D59" s="16"/>
      <c r="E59" s="11"/>
      <c r="F59" s="11"/>
      <c r="G59" s="11"/>
      <c r="H59" s="11"/>
      <c r="I59" s="11"/>
      <c r="J59" s="18" t="s">
        <v>73</v>
      </c>
      <c r="K59" s="20">
        <v>1</v>
      </c>
      <c r="L59" s="10">
        <f>M30+M57</f>
        <v>0</v>
      </c>
      <c r="M59" s="10">
        <f>ROUND(L59*K59,2)</f>
        <v>0</v>
      </c>
    </row>
    <row r="60" spans="1:13" x14ac:dyDescent="0.25">
      <c r="A60" s="19"/>
      <c r="B60" s="19"/>
      <c r="C60" s="19"/>
      <c r="D60" s="25"/>
      <c r="E60" s="19"/>
      <c r="F60" s="19"/>
      <c r="G60" s="19"/>
      <c r="H60" s="19"/>
      <c r="I60" s="19"/>
      <c r="J60" s="19"/>
      <c r="K60" s="19"/>
      <c r="L60" s="19"/>
      <c r="M60" s="19"/>
    </row>
    <row r="61" spans="1:13" x14ac:dyDescent="0.25">
      <c r="A61" s="11"/>
      <c r="B61" s="11"/>
      <c r="C61" s="11"/>
      <c r="D61" s="16"/>
      <c r="E61" s="11"/>
      <c r="F61" s="11"/>
      <c r="G61" s="11"/>
      <c r="H61" s="11"/>
      <c r="I61" s="11"/>
      <c r="J61" s="18" t="s">
        <v>74</v>
      </c>
      <c r="K61" s="20">
        <v>1</v>
      </c>
      <c r="L61" s="10">
        <f>M59</f>
        <v>0</v>
      </c>
      <c r="M61" s="10">
        <f>ROUND(L61*K61,2)</f>
        <v>0</v>
      </c>
    </row>
    <row r="62" spans="1:13" x14ac:dyDescent="0.25">
      <c r="A62" s="11"/>
      <c r="B62" s="11"/>
      <c r="C62" s="11"/>
      <c r="D62" s="16"/>
      <c r="E62" s="11"/>
      <c r="F62" s="11"/>
      <c r="G62" s="11"/>
      <c r="H62" s="11"/>
      <c r="I62" s="11"/>
      <c r="J62" s="11"/>
      <c r="K62" s="11"/>
      <c r="L62" s="11"/>
      <c r="M62" s="11"/>
    </row>
  </sheetData>
  <dataValidations count="1">
    <dataValidation type="list" allowBlank="1" showInputMessage="1" showErrorMessage="1" sqref="B4:B62">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2025-04-21T18:09:52Z</dcterms:created>
  <dcterms:modified xsi:type="dcterms:W3CDTF">2025-04-21T18:10:24Z</dcterms:modified>
</cp:coreProperties>
</file>