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uario\Dropbox\Documents 2026\_PR_26_006 HOT HOTEL CABAU AQUASOL\7.- PROJECTE LICITACIÓ Y EXECUTIU\1.- Documents\Amidaments\03_EDIFICI PPAL\"/>
    </mc:Choice>
  </mc:AlternateContent>
  <xr:revisionPtr revIDLastSave="0" documentId="8_{3DC0D890-030E-4BD4-95D4-BFFF933B6CE3}" xr6:coauthVersionLast="47" xr6:coauthVersionMax="47" xr10:uidLastSave="{00000000-0000-0000-0000-000000000000}"/>
  <bookViews>
    <workbookView xWindow="-103" yWindow="-103" windowWidth="33120" windowHeight="18000" xr2:uid="{899F7E08-2289-43C3-9A06-461C1423A72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6" i="1" l="1"/>
  <c r="F256" i="1"/>
  <c r="G156" i="1"/>
  <c r="G254" i="1"/>
  <c r="E156" i="1"/>
  <c r="F156" i="1"/>
  <c r="F254" i="1"/>
  <c r="G249" i="1"/>
  <c r="G252" i="1"/>
  <c r="E249" i="1"/>
  <c r="F249" i="1"/>
  <c r="F252" i="1"/>
  <c r="G251" i="1"/>
  <c r="G250" i="1"/>
  <c r="G230" i="1"/>
  <c r="G247" i="1"/>
  <c r="E230" i="1"/>
  <c r="F230" i="1"/>
  <c r="F247" i="1"/>
  <c r="G242" i="1"/>
  <c r="G245" i="1"/>
  <c r="E242" i="1"/>
  <c r="F242" i="1"/>
  <c r="F245" i="1"/>
  <c r="G243" i="1"/>
  <c r="G231" i="1"/>
  <c r="G240" i="1"/>
  <c r="E231" i="1"/>
  <c r="F231" i="1"/>
  <c r="F240" i="1"/>
  <c r="G238" i="1"/>
  <c r="G236" i="1"/>
  <c r="G234" i="1"/>
  <c r="G232" i="1"/>
  <c r="G209" i="1"/>
  <c r="G228" i="1"/>
  <c r="E209" i="1"/>
  <c r="F209" i="1"/>
  <c r="F228" i="1"/>
  <c r="G223" i="1"/>
  <c r="G226" i="1"/>
  <c r="E223" i="1"/>
  <c r="F223" i="1"/>
  <c r="F226" i="1"/>
  <c r="G224" i="1"/>
  <c r="G210" i="1"/>
  <c r="G221" i="1"/>
  <c r="E210" i="1"/>
  <c r="F210" i="1"/>
  <c r="F221" i="1"/>
  <c r="G219" i="1"/>
  <c r="G217" i="1"/>
  <c r="G215" i="1"/>
  <c r="G213" i="1"/>
  <c r="G211" i="1"/>
  <c r="G184" i="1"/>
  <c r="G207" i="1"/>
  <c r="E184" i="1"/>
  <c r="F184" i="1"/>
  <c r="F207" i="1"/>
  <c r="G200" i="1"/>
  <c r="G205" i="1"/>
  <c r="E200" i="1"/>
  <c r="F200" i="1"/>
  <c r="F205" i="1"/>
  <c r="G203" i="1"/>
  <c r="G201" i="1"/>
  <c r="G185" i="1"/>
  <c r="G198" i="1"/>
  <c r="E185" i="1"/>
  <c r="F185" i="1"/>
  <c r="F198" i="1"/>
  <c r="G196" i="1"/>
  <c r="G194" i="1"/>
  <c r="G192" i="1"/>
  <c r="G190" i="1"/>
  <c r="G188" i="1"/>
  <c r="G186" i="1"/>
  <c r="G157" i="1"/>
  <c r="G182" i="1"/>
  <c r="E157" i="1"/>
  <c r="F157" i="1"/>
  <c r="F182" i="1"/>
  <c r="G175" i="1"/>
  <c r="G180" i="1"/>
  <c r="E175" i="1"/>
  <c r="F175" i="1"/>
  <c r="F180" i="1"/>
  <c r="G178" i="1"/>
  <c r="G176" i="1"/>
  <c r="G170" i="1"/>
  <c r="G173" i="1"/>
  <c r="E170" i="1"/>
  <c r="F170" i="1"/>
  <c r="F173" i="1"/>
  <c r="G171" i="1"/>
  <c r="G159" i="1"/>
  <c r="G168" i="1"/>
  <c r="E159" i="1"/>
  <c r="F159" i="1"/>
  <c r="F168" i="1"/>
  <c r="G166" i="1"/>
  <c r="G164" i="1"/>
  <c r="G162" i="1"/>
  <c r="G160" i="1"/>
  <c r="G4" i="1"/>
  <c r="G154" i="1"/>
  <c r="E4" i="1"/>
  <c r="F4" i="1"/>
  <c r="F154" i="1"/>
  <c r="G6" i="1"/>
  <c r="G152" i="1"/>
  <c r="E6" i="1"/>
  <c r="F6" i="1"/>
  <c r="F152" i="1"/>
  <c r="G109" i="1"/>
  <c r="G150" i="1"/>
  <c r="E109" i="1"/>
  <c r="F109" i="1"/>
  <c r="F150" i="1"/>
  <c r="G148" i="1"/>
  <c r="G146" i="1"/>
  <c r="G144" i="1"/>
  <c r="G142" i="1"/>
  <c r="G140" i="1"/>
  <c r="G138" i="1"/>
  <c r="G136" i="1"/>
  <c r="G134" i="1"/>
  <c r="G132" i="1"/>
  <c r="G130" i="1"/>
  <c r="G128" i="1"/>
  <c r="G126" i="1"/>
  <c r="G124" i="1"/>
  <c r="G122" i="1"/>
  <c r="G120" i="1"/>
  <c r="G118" i="1"/>
  <c r="G116" i="1"/>
  <c r="G114" i="1"/>
  <c r="G112" i="1"/>
  <c r="G110" i="1"/>
  <c r="G98" i="1"/>
  <c r="G107" i="1"/>
  <c r="E98" i="1"/>
  <c r="F98" i="1"/>
  <c r="F107" i="1"/>
  <c r="G105" i="1"/>
  <c r="G103" i="1"/>
  <c r="G101" i="1"/>
  <c r="G99" i="1"/>
  <c r="G29" i="1"/>
  <c r="G96" i="1"/>
  <c r="E29" i="1"/>
  <c r="F29" i="1"/>
  <c r="F96" i="1"/>
  <c r="G94" i="1"/>
  <c r="G92" i="1"/>
  <c r="G90" i="1"/>
  <c r="G88" i="1"/>
  <c r="G86" i="1"/>
  <c r="G84" i="1"/>
  <c r="G82" i="1"/>
  <c r="G80" i="1"/>
  <c r="G78" i="1"/>
  <c r="G76" i="1"/>
  <c r="G74" i="1"/>
  <c r="G72" i="1"/>
  <c r="G70" i="1"/>
  <c r="G68" i="1"/>
  <c r="G66" i="1"/>
  <c r="G64" i="1"/>
  <c r="G62" i="1"/>
  <c r="G60" i="1"/>
  <c r="G58" i="1"/>
  <c r="G56" i="1"/>
  <c r="G54" i="1"/>
  <c r="G52" i="1"/>
  <c r="G50" i="1"/>
  <c r="G48" i="1"/>
  <c r="G46" i="1"/>
  <c r="G44" i="1"/>
  <c r="G42" i="1"/>
  <c r="G40" i="1"/>
  <c r="G38" i="1"/>
  <c r="G36" i="1"/>
  <c r="G34" i="1"/>
  <c r="G32" i="1"/>
  <c r="G30" i="1"/>
  <c r="G12" i="1"/>
  <c r="G27" i="1"/>
  <c r="E12" i="1"/>
  <c r="F12" i="1"/>
  <c r="F27" i="1"/>
  <c r="G25" i="1"/>
  <c r="G23" i="1"/>
  <c r="G21" i="1"/>
  <c r="G19" i="1"/>
  <c r="G17" i="1"/>
  <c r="G15" i="1"/>
  <c r="G13" i="1"/>
  <c r="G7" i="1"/>
  <c r="G10" i="1"/>
  <c r="E7" i="1"/>
  <c r="F7" i="1"/>
  <c r="F10" i="1"/>
  <c r="G8" i="1"/>
</calcChain>
</file>

<file path=xl/sharedStrings.xml><?xml version="1.0" encoding="utf-8"?>
<sst xmlns="http://schemas.openxmlformats.org/spreadsheetml/2006/main" count="582" uniqueCount="313">
  <si>
    <t>Reforma y ampliación Hotel-apartamentos Aquasol</t>
  </si>
  <si>
    <t>Presupuesto</t>
  </si>
  <si>
    <t>Código</t>
  </si>
  <si>
    <t>Resumen</t>
  </si>
  <si>
    <t>ImpPres</t>
  </si>
  <si>
    <t>Nat</t>
  </si>
  <si>
    <t>Ud</t>
  </si>
  <si>
    <t>CanPres</t>
  </si>
  <si>
    <t>PrPres</t>
  </si>
  <si>
    <t xml:space="preserve">AA           </t>
  </si>
  <si>
    <t>INSTALACIÓN DE CLIMATIZACIÓN</t>
  </si>
  <si>
    <t>Capítulo</t>
  </si>
  <si>
    <t>u</t>
  </si>
  <si>
    <t xml:space="preserve">AA.01        </t>
  </si>
  <si>
    <t>ED. PRINCIPAL ZZNN</t>
  </si>
  <si>
    <t/>
  </si>
  <si>
    <t xml:space="preserve">AA.1.0       </t>
  </si>
  <si>
    <t>ACTUACIONES PREVIAS</t>
  </si>
  <si>
    <t xml:space="preserve">DESMCLHT     </t>
  </si>
  <si>
    <t>DESMONTAJE DE INSTALACION EXISTENTE</t>
  </si>
  <si>
    <t>Partida</t>
  </si>
  <si>
    <t xml:space="preserve">Desmontaje de equipòs frigorificos partidos existentes, incluso tuberias frigorificas, soportaciones e instalacion eléctrica asociada
</t>
  </si>
  <si>
    <t>AA.1.0</t>
  </si>
  <si>
    <t xml:space="preserve">AA.1.1       </t>
  </si>
  <si>
    <t>MAQUINARIA</t>
  </si>
  <si>
    <t xml:space="preserve">AUTM146R     </t>
  </si>
  <si>
    <t>UD. CLIMATIZACIÓN AIRLAN UTM 14-6R</t>
  </si>
  <si>
    <t>ud</t>
  </si>
  <si>
    <t xml:space="preserve">Suministro e instalación de unidad terminal de climatización marca AIRLAN, modelo UTM 14 – 6R (batería 6R), para sistema a 2 tubos. Estructura portante en chapa galvanizada de gran espesor resistente a la corrosión, agentes químicos y alcohol. Paneles autoportantes y desmontables; montaje con tornillos autorroscantes para una rápida inspección, mantenimiento rápido y sencillo, Motor eléctrico de 3 velocidade de caracteristicas: 
- Capacidad frigorífica total máx. 54,157 kW 
- Capacidad calorífica total máx. 107,771 kW. 
- Caudal de Aire(Max/Min): 6.827/4.249 m3/h 
- Dimensiones unidad sin carcasa (Ancho x Largo x Alto)1.350x1.160x480mm
Incluyendo todos los elementos necesarios para su correcta puesta en servicio. Incluso medios de transporte y elevación, pp de accesorios y elementos necesarios para su conexión hidraulica y eléctrica, montaje y soportación. Conexionado hidraulico y eléctrico incluido.
Totalmente instalada y funcionando.
</t>
  </si>
  <si>
    <t xml:space="preserve">AUTM64R      </t>
  </si>
  <si>
    <t>UD. CLIMATIZACIÓN AIRLAN UTM 6-4R</t>
  </si>
  <si>
    <t xml:space="preserve">Suministro e instalación de unidad terminal de climatización marca AIRLAN, modelo UTM 6 – 4R (batería 6R), para sistema a 2 tubos. Estructura portante en chapa galvanizada de gran espesor resistente a la corrosión, agentes químicos y alcohol. Paneles autoportantes y desmontables; montaje con tornillos autorroscantes para una rápida inspección, mantenimiento rápido y sencillo, Motor eléctrico de 3 velocidade de caracteristicas: 
- Capacidad frigorífica total máx. 26,294 kW 
- Capacidad calorífica total máx. 61.303 kW. 
- Caudal de Aire(Max/Min): 5.046/3.584 m3/h 
- Dimensiones unidad sin carcasa (Ancho x Largo x Alto)1.350x1.250x570mm
Incluyendo todos los elementos necesarios para su correcta puesta en servicio. Incluso medios de transporte y elevación, pp de accesorios y elementos necesarios para su conexión hidraulica y eléctrica, montaje y soportación. Conexionado hidraulico y eléctrico incluido.
Totalmente instalada y funcionando.
</t>
  </si>
  <si>
    <t xml:space="preserve">CL03         </t>
  </si>
  <si>
    <t>UNIDAD DE CLIMATIZACIÓN BAJA SILUETA AIRLAN UTM 4 6R - D</t>
  </si>
  <si>
    <t xml:space="preserve">Suministro e instalación de unidad de unidad de acondicionamiento marca Airlan serie UTM, modelo UTM 4 6R - D, horizontal con bateria de 6 rangos
Caudal de aire nominal: 3413 m3/h.
Presion disponible: 150 Pa
Rendimiento frigorífico con batería de 6 rangos con temperatura aire entrante 27°C b.s. 19°C b.u. ; Temperatura agua (Ent-Usc) 7°C - 12°C: 
Potencia total: 27,274kW.
Rendimiento térmico con batería de 6 rangos con temperatura aire entrante 20°C ; Temperatura agua (Ent-Usc) 45°C - 40°C:
Potencia total: 29 kW.
Incluye material de instalación adicional, pruebas, ingeniería y puesta en marcha. 
Totalmente instalada y funcionando.
</t>
  </si>
  <si>
    <t xml:space="preserve">FCL32        </t>
  </si>
  <si>
    <t>FAN COIL CASSETTE AIRLAN FCL32</t>
  </si>
  <si>
    <t xml:space="preserve">Suministro e instalación de fan coil tipo cassette con1 bateria de intercambio de calor, formada por serpentín de cobre con aletas de aluminio y ventilador centrífugo con 3 velocidades. Unidad de alto rendimiento térmico, bajo consumo y baja sonoridad. Con bandeja de recogia de condensados ampliada, reforzada y aislada, con las siguientes características:
- Marca: AIRLAN
- Tipo: CASSETTE
- Modelo: FCL32
- Capacidad frigorífica: 1,90 W (7-12ºC)
- Capacidad calorífica:  1,99 W (45-40ºC)
- Caudal de Aire(Max/Med/Min): 600/410/300 m3/h
- Dimensiones unidad sin carcasa (Ancho x Largo x Alto):587x587x298mm
- Dimensiones con carcasa (Ancho x Largo x Alto): 754x754x362mm
Incluso medios de transporte y elevación, pp de accesorios y elementos necesarios para su conexión hidraulica y eléctrica, montaje y soportación. Conexionado hidraulico y eléctrico incluido.
Totalmente instalada y funcionando.
</t>
  </si>
  <si>
    <t xml:space="preserve">FCL36        </t>
  </si>
  <si>
    <t>FAN COIL CASSETTE AIRLAN FCL36</t>
  </si>
  <si>
    <t xml:space="preserve">Suministro e instalación de fan coil tipo cassette con1 bateria de intercambio de calor, formada por serpentín de cobre con aletas de aluminio y ventilador centrífugo con 3 velocidades. Unidad de alto rendimiento térmico, bajo consumo y baja sonoridad. Con bandeja de recogia de condensados ampliada, reforzada y aislada, con las siguientes características:
- Marca: AIRLAN
- Tipo: CASSETTE
- Modelo: FCL36
- Capacidad frigorífica: 3.00 W (7-12ºC)
- Capacidad calorífica:  3.12 W (45-40ºC)
- Caudal de Aire(Max/Med/Min): 600/410/300 m3/h
- Dimensiones unidad sin carcasa (Ancho x Largo x Alto):587x587x298mm
- Dimensiones con carcasa (Ancho x Largo x Alto): 754x754x362mm
Incluso medios de transporte y elevación, pp de accesorios y elementos necesarios para su conexión hidraulica y eléctrica, montaje y soportación. Conexionado hidraulico y eléctrico incluido.
Totalmente instalada y funcionando.
</t>
  </si>
  <si>
    <t xml:space="preserve">FCL42        </t>
  </si>
  <si>
    <t>FAN COIL CASSETTE AIRLAN FCL42</t>
  </si>
  <si>
    <t xml:space="preserve">Suministro e instalación de fan coil tipo cassette con1 bateria de intercambio de calor, formada por serpentín de cobre con aletas de aluminio y ventilador centrífugo con 3 velocidades. Unidad de alto rendimiento térmico, bajo consumo y baja sonoridad. Con bandeja de recogia de condensados ampliada, reforzada y aislada, con las siguientes características:
- Marca: AIRLAN
- Tipo: CASSETTE
- Modelo: FCL42
- Capacidad frigorífica: 3,95 W (7-12ºC)
- Capacidad calorífica:  3,65 W (45-40ºC)
- Caudal de Aire(Max/Med/Min): 700/360/260 m3/h
- Dimensiones unidad sin carcasa (Ancho x Largo x Alto):587x587x298mm
- Dimensiones con carcasa (Ancho x Largo x Alto): 754x754x362mm
Incluso medios de transporte y elevación, pp de accesorios y elementos necesarios para su conexión hidraulica y eléctrica, montaje y soportación. Conexionado hidraulico y eléctrico incluido.
Totalmente instalada y funcionando.
</t>
  </si>
  <si>
    <t xml:space="preserve">TT           </t>
  </si>
  <si>
    <t>TERMOSTATO</t>
  </si>
  <si>
    <t xml:space="preserve">Suministro e instalacion de Termostato marca Frimec Modelo TD-06CO2P3V, Características:
- Termostato digital empotrable.
- Sistema a 2 tubos.
- Control 3 velocidades ventilador.
- Cambio invierno/verano automático opcional por sonda exterior colocada en la tubería de agua.
- Posibilidad de control de temperatura por retorno
- Contacto de ventana / tarjetero del hotel.
- Instalación en caja universal.
Incluso conexionado, y programación, pp de accesorios y material necesario para su montje y conexionado.
</t>
  </si>
  <si>
    <t>AA.1.1</t>
  </si>
  <si>
    <t xml:space="preserve">AA.1.2       </t>
  </si>
  <si>
    <t>TUBERÍA, VALVULERÍA, INTERCONEXIÓN Y AISLAMIENTO</t>
  </si>
  <si>
    <t xml:space="preserve">CZCCLD25     </t>
  </si>
  <si>
    <t>TUBERIA PP-R 100 NIRON CLIMA D25x3,5mm</t>
  </si>
  <si>
    <t>ml</t>
  </si>
  <si>
    <t xml:space="preserve">Suministro e instalación de tuberia de polipropileno multicapa  25x3,5mm. Fabricada según Norma UNE-EN 12201, PN16 SDR11/S5. Marca Niron Clima. Incluso p.p. de accesorios y elementos de soportaje. 
</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</si>
  <si>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</si>
  <si>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</si>
  <si>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</si>
  <si>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 xml:space="preserve">CzCCLd40     </t>
  </si>
  <si>
    <t>TUBERIA PP-R 100 NIRON CLIMA D40x3,7mm</t>
  </si>
  <si>
    <t xml:space="preserve">Suministro e instalación de tuberia de polipropileno multicapa  40x3,7mm. Fabricada según Norma UNE-EN 12201, PN16 SDR11/S5. Marca Niron Clima. Incluso p.p. de accesorios y elementos de soportaje. 
</t>
  </si>
  <si>
    <t xml:space="preserve">CzCCLd50     </t>
  </si>
  <si>
    <t>TUBERIA PP-R 100 NIRON CLIMA D50x4,6mm</t>
  </si>
  <si>
    <t xml:space="preserve">Suministro e instalación de tuberia de polipropileno multicapa  50x4,6mm. Fabricada según Norma UNE-EN 12201, PN16 SDR11/S5. Marca Niron Clima. Incluso p.p. de accesorios y elementos de soportaje. 
</t>
  </si>
  <si>
    <t xml:space="preserve">CzCCLd63     </t>
  </si>
  <si>
    <t>TUBERIA PP-R 100 NIRON CLIMA D63x5,2mm</t>
  </si>
  <si>
    <t xml:space="preserve">Suministro y montaje de tubo compuesto de polipropileno copolímero random PP-R 100 con fibra de vidrio (1/4)PP-R // (2/4)PP-R+FV // (1/4)PP-R, SDR 11 serie 5 de diámetro 63 mm y 5,8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</si>
  <si>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 xml:space="preserve">CzCCLd75     </t>
  </si>
  <si>
    <t>TUBERIA COMPUESTA NIRON CLIMA PPR de ø75mm</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</si>
  <si>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</si>
  <si>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 xml:space="preserve">CzCCLd90     </t>
  </si>
  <si>
    <t>TUBERIA COMPUESTA NIRON CLIMA PPR de ø90mm</t>
  </si>
  <si>
    <t xml:space="preserve">Suministro y montaje de tubo NIRON CLIMA compuesto de polipropileno copolímero random PP-R RP con fibra de vidrio (1/4)PP-R // (2/4)PP-R+FV // (1/4)PP-R, SDR 11 serie 5 de diámetro 90 mm y 8,2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</si>
  <si>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 xml:space="preserve">CzCCLd110    </t>
  </si>
  <si>
    <t>TUBERIA COMPUESTA NIRON CLIMA PPR de ø110mm</t>
  </si>
  <si>
    <t xml:space="preserve">AISD25X25MM  </t>
  </si>
  <si>
    <t>COQUILLA DE ESPUMA ELASTOMERICA D25 e25mm</t>
  </si>
  <si>
    <t xml:space="preserve">Suministro y montaje de aislamiento térmico flexible de célula cerrada para tuberías de plástico de diámetro exterior 25 mm 25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t>
  </si>
  <si>
    <t xml:space="preserve">ED32-25      </t>
  </si>
  <si>
    <t>COQUILLA DE ESPUMA ELASTOMERICA D32 e25mm</t>
  </si>
  <si>
    <t xml:space="preserve">Suministro y montaje de aislamiento térmico flexible de célula cerrada para tuberías de plástico de diámetro exterior 32 mm 25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t>
  </si>
  <si>
    <t xml:space="preserve">ED40-30      </t>
  </si>
  <si>
    <t>COQUILLA DE ESPUMA ELASTOMERICA D40 e25mm</t>
  </si>
  <si>
    <t xml:space="preserve">Suministro e instalación de aislamiento flexible a base de espuma elastomerica de D40x30mm, para una conductividad térmica de referencia igual a 0,04 W/(m·K) a 10 °C, incluso p.p. de accesorios y elementos necsarios para su montaje. 
</t>
  </si>
  <si>
    <t xml:space="preserve">ED50-30      </t>
  </si>
  <si>
    <t>COQUILLA DE ESPUMA ELASTOMERICA D50 e25mm</t>
  </si>
  <si>
    <t xml:space="preserve">Suministro e instalación de aislamiento flexible a base de espuma elastomerica de D50x30mm, para una conductividad térmica de referencia igual a 0,04 W/(m·K) a 10 °C, incluso p.p. de accesorios y elementos necsarios para su montaje. 
</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</si>
  <si>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</si>
  <si>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</si>
  <si>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</si>
  <si>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</si>
  <si>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</si>
  <si>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t>
  </si>
  <si>
    <t xml:space="preserve">ED90-30      </t>
  </si>
  <si>
    <t>COQUILLA DE ESPUMA ELASTOMERICA D90 e30mm</t>
  </si>
  <si>
    <t xml:space="preserve">Suministro y montaje de aislamiento térmico flexible de célula cerrada para tuberías de plástico de diámetro exterior 90 mm 30mm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t>
  </si>
  <si>
    <t xml:space="preserve">ED110-40     </t>
  </si>
  <si>
    <t>COQUILLA DE ESPUMA ELASTOMERICA D110 e40mm</t>
  </si>
  <si>
    <t xml:space="preserve">Suministro y montaje de aislamiento térmico flexible de célula cerrada para tuberías de plástico de diámetro exterior 110 mm 40mm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40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</si>
  <si>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</si>
  <si>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</si>
  <si>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</si>
  <si>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 xml:space="preserve">FVALBO34     </t>
  </si>
  <si>
    <t>VALVULA DE ESFERA DE ø3/4"</t>
  </si>
  <si>
    <t xml:space="preserve">Suministro y colocación de válvula de esfera de 3/4" de diámetro H-H con maneta de palanca, con cuerpo de latón cromado CW617N, bola de latón cromado pulido, anillos de cierre de Teflón, eje de latón estampado y maneta de acero plastificado, Tªmin=-20ºC, Tª max=150ºC, Pmax=25bar, marca Sei codigo AA03801 o similar equivalente. Incluso accesorios y parte proporcional de elementos mecanicos y material auxiliar necesarios para montaje, conexionado, soporte y sujeción.
</t>
  </si>
  <si>
    <t xml:space="preserve">FVALBO1      </t>
  </si>
  <si>
    <t>VALVULA DE ESFERA DE ø1"</t>
  </si>
  <si>
    <t>Suministro y colocación de válvula de esfera de 1 1/2" de diámetro H-H con maneta de palanca, con cuerpo de latón cromado CW617N, bola de latón cromado pulido, anillos de cierre de Teflón, eje de latón estampado y maneta de acero plastificado, Tªmin=-20ºC, Tª max=150ºC, Pmax=25bar, marca Sei codigo AA03801 o similar equivalente. Incluso accesorios y parte proporcional de elementos mecanicos y material auxiliar necesarios para montaje, conexionado, soporte y sujeción.</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</si>
  <si>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</si>
  <si>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</si>
  <si>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</si>
  <si>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</si>
  <si>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</si>
  <si>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</si>
  <si>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</si>
  <si>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</si>
  <si>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</si>
  <si>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</si>
  <si>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</si>
  <si>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</si>
  <si>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 xml:space="preserve">FILTRO112    </t>
  </si>
  <si>
    <t>FILTRO Y  ø1 12" paso filtro 0,5mm</t>
  </si>
  <si>
    <t xml:space="preserve">Suministro y colocación de filtro Y 1 1/2"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</si>
  <si>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 xml:space="preserve">FILTRO2      </t>
  </si>
  <si>
    <t>FILTRO Y CON BRIDAS ø2" paso filtro 0,5mm</t>
  </si>
  <si>
    <t>Suministro y colocación de filtro Y con bridas de 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</si>
  <si>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 xml:space="preserve">ABQM40F34    </t>
  </si>
  <si>
    <t>KIT DE VALVULAS DANFOSS AB-QM 4.0 FLEXO 15 HF</t>
  </si>
  <si>
    <t xml:space="preserve">Suministro y montaje de Kit de valvulas de equilibrado y control independiente de la presión DANFOSS AB-QM 4.0 Flexo 80 DN20 
 Incluso marcas rojas o azules, accesorios y parte proporcional de elementos mecanicos y material auxiliar necesarios para montaje, conexionado, soporte y sujeción.
</t>
  </si>
  <si>
    <t xml:space="preserve">ABQM40FBP34  </t>
  </si>
  <si>
    <t>KIT DE VALVULAS DANFOSS AB-QM 4.0 FLEXO + BY PASS</t>
  </si>
  <si>
    <t xml:space="preserve">Suministro y montaje de Kit de valvulas de equilibrado y control independiente de la presión DANFOSS AB-QM 4.0 Flexo 80 DN20 con by-pass formado por válvula de presión diferencial (ref. 003L6020) y válvula de equilibrado (REF. 003Z8302).
Incluso marcas rojas o azules, accesorios y parte proporcional de elementos mecanicos y material auxiliar necesarios para montaje, conexionado, soporte y sujeción.
</t>
  </si>
  <si>
    <t xml:space="preserve">53-1375-01   </t>
  </si>
  <si>
    <t>VALVULA DE CONTROL Y EQUILIBRADO D40mm CON ACTUADOR</t>
  </si>
  <si>
    <t xml:space="preserve">Suministro e instalación de válvula de 2 vias de equilibrado y control independientes de la presión diferencial, DN40 rosca H-H, con tomas P/T , estanca con equilibrado dinámico con ajuste externo, control (3 puntos o Proporcional) y control de presión diferencial, totalmente instalada.marca Frese modelo Optima Compact  High 15MM DN40 codigo 53-1375-01 DN 40 H/H o similar equivalente. Incluso pp de accesorios y elementos necesarios para su montaje y conexionado.
Actuador incluido en la valvula 24Vcc/Vca, 15 ml cableado bajo tubo incluido.
</t>
  </si>
  <si>
    <t xml:space="preserve">0132400      </t>
  </si>
  <si>
    <t>VALVULA DE EQUILIBRADO DINAMICO DN50mm</t>
  </si>
  <si>
    <t xml:space="preserve">Suministro e instalación de  valvula de equilibrado dinamico con ajuste manual del caudal DN50 , marca Frese modelo Sigma Compact Embridada 53-2400 codigo  0132400 o similar equivalente. Incluso pp de accesorios y elementos necesarios para su montaje, conexionado y sustentación.
</t>
  </si>
  <si>
    <t xml:space="preserve">53-1376-01   </t>
  </si>
  <si>
    <t>VALVULA DE CONTROL Y EQUILIBRADO D50mm CON ACTUADOR</t>
  </si>
  <si>
    <t xml:space="preserve">Suministro e instalación de válvula de 2 vias de equilibrado y control independientes de la presión diferencial, DN50 rosca H-H, con tomas P/T , estanca con equilibrado dinámico con ajuste externo, control (3 puntos o Proporcional) y control de presión diferencial, totalmente instalada.marca Frese modelo Optima Compact  High 15MM DN50 codigo 53-1376-01 DN 50 H/H o similar equivalente. Incluso pp de accesorios y elementos necesarios para su montaje y conexionado.
Actuador incluido en la valvula 24Vcc/Vca, 15 ml cableado bajo tubo incluido.
</t>
  </si>
  <si>
    <t xml:space="preserve">2041 09      </t>
  </si>
  <si>
    <t>VALVULA DE 3 VIAS D50mm TIPO T CON MANETA</t>
  </si>
  <si>
    <t xml:space="preserve">Suministro e instalación de Válvula esfera 3 vías paso reducido tipo T de 2", de acero inoxidable AISI 316 - Cuatro asientos PTFE+FV juntas cuerpo y eje: PTFE tórica eje: Vitón. Extremos: Rosca gas ISO 7-1 (EN 10226-1). PN 63. Temp. -25ºC +180ºC. Montaje directo S/ISO 5211. Mando manual por palanca con sistema de bloqueo. Marca Genebre Referencia: 2041 Incluso pp de accesorios y elementos necesarios para su montaje y conexionado.
</t>
  </si>
  <si>
    <t xml:space="preserve">2041 08      </t>
  </si>
  <si>
    <t>VALVULA DE 3 VIAS D40mm TIPO T CON MANETA</t>
  </si>
  <si>
    <t xml:space="preserve">Suministro e instalación de Válvula esfera 3 vías paso reducido tipo T de 1 1/2", de acero inoxidable AISI 316 - Cuatro asientos PTFE+FV juntas cuerpo y eje: PTFE tórica eje: Vitón. Extremos: Rosca gas ISO 7-1 (EN 10226-1). PN 63. Temp. -25ºC +180ºC. Montaje directo S/ISO 5211. Mando manual por palanca con sistema de bloqueo. Marca Genebre Referencia: 2041 Incluso pp de accesorios y elementos necesarios para su montaje y conexionado.
</t>
  </si>
  <si>
    <t xml:space="preserve">V3VD50       </t>
  </si>
  <si>
    <t>VALVULA DE 3 VIAS D50mm MOTORIZADA</t>
  </si>
  <si>
    <t xml:space="preserve">Suministro e instalación deVálvula de tres vías motorizada marca WOLF. DN 50 Rp 2" 230V, Kvs 40. Incluye: motor para válvula de 3 vias con cable de conexión de 4 m, 24 VAC/SPST y válvula de 3 vías.Incluso pp de accesorios y elementos necesarios para su montaje y conexionado.
</t>
  </si>
  <si>
    <t>AA.1.2</t>
  </si>
  <si>
    <t xml:space="preserve">AA.1.3       </t>
  </si>
  <si>
    <t>DESAGÜES DE CONDENSADOS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</si>
  <si>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</si>
  <si>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</si>
  <si>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</si>
  <si>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 xml:space="preserve">SA-PVC32     </t>
  </si>
  <si>
    <t>Tubería PVC 32 mm, conducción condensados</t>
  </si>
  <si>
    <t xml:space="preserve">Suministro e instalación de tubería de desagüe condensados, de PVC-U de 32 mm. de diámetro exterior. Incluso conexionado a bandeja de fancoil, sifon registrable y bajante de aguas residuales, diluyente, limpiador, adhesivo, abrazaderas, piezas especiales, accesorios y material auxiliar necesario para montaje, soporte y sujeción.
</t>
  </si>
  <si>
    <t>SA-SIF32REGEM</t>
  </si>
  <si>
    <t>Sifón A.A. DN32 registrable, empotrado en caja</t>
  </si>
  <si>
    <t>ud.</t>
  </si>
  <si>
    <t xml:space="preserve">Suministro e instalación de sifon registrable para Aire Acondicionado, además de caja empotrable para registro del sifón, con tapa y tornillos, de medidas 204x239x57mm., de la marca WURTH o similar. Incluso parte proporcional de tubería de PVC DN32, conexionado, diluyente, limpiador, adhesivo, abrazaderas, piezas especiales, accesorios y material auxiliar necesario para montaje, soporte y sujeción.
</t>
  </si>
  <si>
    <t>INJ. DES COND</t>
  </si>
  <si>
    <t>Formación "injerto" conexión desagüe condensados</t>
  </si>
  <si>
    <t xml:space="preserve">Formación de injerto a bajante de aguas fecales, para permitir la conducción de las aguas de condensados provenientes de las unidades de climatización.
</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</si>
  <si>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</si>
  <si>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</si>
  <si>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</si>
  <si>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</si>
  <si>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</si>
  <si>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</si>
  <si>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</si>
  <si>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 xml:space="preserve">CFLEX80      </t>
  </si>
  <si>
    <t>CONDUCTO CIRCULAR FLEXIBLE D250mm AISLADO</t>
  </si>
  <si>
    <t xml:space="preserve">Suministro e instalación de red de tubos flexibles de distribución de aire, constituida por tubo flexible de 250 mm de diámetro interior y 300mm exterior, con aislmiento de fibra de vidrio de 25mm, , obtenido como resultado de enrollar en hélice, con espiral de alambre, bandas de aluminio y poliéster; incluso cinta de aluminio y elementos de fijación con una separación máxima de 1,50 m. Totalmente montada, conexionada y probada.
</t>
  </si>
  <si>
    <t xml:space="preserve">160101aI     </t>
  </si>
  <si>
    <t>CONDUCTO CIRCULAR HELICOIDAL PARED SIMPLE Ø= 300 mm</t>
  </si>
  <si>
    <t>m</t>
  </si>
  <si>
    <t xml:space="preserve">Suministro e instalación de conducto circular de 300mm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
</t>
  </si>
  <si>
    <t xml:space="preserve">EMBCFCJ01    </t>
  </si>
  <si>
    <t>Embocaduras conducto-fancoil</t>
  </si>
  <si>
    <t>Embocadura de conducto a fan-coil. Incluso pp de accesorios y material para su montaje y soportación.</t>
  </si>
  <si>
    <t xml:space="preserve">EMBCREJ01    </t>
  </si>
  <si>
    <t>Embocadura conducto a rejillas impulsión/retorno</t>
  </si>
  <si>
    <t>Embocadura de conducto a rejilla de impulsión o retorno. Incluso pp de accesorios y material para su montaje y soportación.</t>
  </si>
  <si>
    <t>LMT-MINI10X15</t>
  </si>
  <si>
    <t>Rejilla MADEL LMT MINI 1000x150mm</t>
  </si>
  <si>
    <t xml:space="preserve">Suministro y colocación de rejilla marca Madel modelo LMT MINI con marco reducido de 12mm, de dimensiones 1.000x200mm (LxH) acabado M9016, con angulos de remate y aletas fijas a 0º. Incluye parte proporcional de accesorios, elementos mecánicos y material necesario para montaje, soporte, bancada silentblocs y sujeción. 
Totalmente montado, comprobado y funcionando.
</t>
  </si>
  <si>
    <t xml:space="preserve">LNG4V        </t>
  </si>
  <si>
    <t>DIFUSOR LINEAL DE 4 VIAS L=1000mm</t>
  </si>
  <si>
    <t xml:space="preserve">Suministro e instalación de difusor lineal de 4 vias Marca Madel modelo LNG-AR (PM) AA dim. 4x1000, construido en aluminio y acabado lacado color blanco RAL9010. Autil=0,0174 m2/ml. Incluso p.p. de accesorios y elementos de soportaje. 
</t>
  </si>
  <si>
    <t xml:space="preserve">DMTAR10060SP </t>
  </si>
  <si>
    <t>Rejilla retorno MADEL DMT-AR+CM S AA 1000x600mm</t>
  </si>
  <si>
    <t xml:space="preserve">Suministro y colocación de retorno marca Madel modelo DMT-AR+CM AA con marco montaje, de álabes opuestos, de dimensiones 1000x600mm (LxH) onstruida en aluminio y acabado anodizado AA, fijación con clips (S). Incluye parte proporcional de accesorios, elementos mecánicos y material necesario para montaje, soporte, bancada silentblocs y sujeción. Totalmente montado, comprobado y funcionando.
</t>
  </si>
  <si>
    <t xml:space="preserve">DMT-AR100X50 </t>
  </si>
  <si>
    <t>REJILLA DE RETORNO MADEL DMT-AR 1000X500</t>
  </si>
  <si>
    <t xml:space="preserve">Suministro e instalación de rejilla para toma de rejilla para retorno de aire con aletas fijas a 45º yparalelas a la cota mayor serie DMT-AR dim. 1000x500mm, construida en aluminio y lacado color blanco M9016, construido en acero zincado, fijación con clips (S) y marco de montaje CM. Marca MADEL.  Incluye parte proporcional de accesorios, elementos mecánicos y material necesario para montaje, soporte, bancada silentblocs y sujeción. Totalmente montado, comprobado y funcionando.
</t>
  </si>
  <si>
    <t xml:space="preserve">DMT-AR100X20 </t>
  </si>
  <si>
    <t>REJILLA DE RETORNO MADEL DMT-AR 1000X200</t>
  </si>
  <si>
    <t xml:space="preserve">Suministro e instalación de rejilla para toma de rejilla para retorno de aire con aletas fijas a 45º yparalelas a la cota mayor serie DMT-AR dim. 1000x200mm, construida en aluminio y lacado color blanco M9016, construido en acero zincado, fijación con clips (S) y marco de montaje CM. Marca MADEL.  Incluye parte proporcional de accesorios, elementos mecánicos y material necesario para montaje, soporte, bancada silentblocs y sujeción. Totalmente montado, comprobado y funcionando.
</t>
  </si>
  <si>
    <t xml:space="preserve">DMT-AR80X25  </t>
  </si>
  <si>
    <t>REJILLA DE RETORNO MADEL DMT-AR 800X250</t>
  </si>
  <si>
    <t xml:space="preserve">Suministro e instalación de rejilla para toma de rejilla para retorno de aire con aletas fijas a 45º yparalelas a la cota mayor serie DMT-AR dim. 800x250mm, construida en aluminio y lacado color blanco M9016, construido en acero zincado, fijación con clips (S) y marco de montaje CM. Marca MADEL.  Incluye parte proporcional de accesorios, elementos mecánicos y material necesario para montaje, soporte, bancada silentblocs y sujeción. Totalmente montado, comprobado y funcionando.
</t>
  </si>
  <si>
    <t>LMTMDDSP10015</t>
  </si>
  <si>
    <t>REJILLA MADEL LMT-MISS-DD+SP 1000x150</t>
  </si>
  <si>
    <t xml:space="preserve">Suministro y colocación de rejilla marca Madel modelo LMT LMT-MISS-DD+SP, de dimensiones 1000x150mm (LxH) acabado M9016, con regulador de caudal SP, ángulos de remate y aletas orientables. Incluye parte proporcional de accesorios, elementos mecánicos y material necesario para montaje, soporte, bancada silentblocs y sujeción. Totalmente montado, comprobado y funcionando.
</t>
  </si>
  <si>
    <t xml:space="preserve">LMTMDDSP9015 </t>
  </si>
  <si>
    <t>REJILLA MADEL LMT-MISS-DD+SP 900x150</t>
  </si>
  <si>
    <t xml:space="preserve">Suministro y colocación de rejilla marca Madel modelo LMT LMT-MISS-DD+SP, de dimensiones 900x150mm (LxH) acabado M9016, con regulador de caudal SP, ángulos de remate y aletas orientables. Incluye parte proporcional de accesorios, elementos mecánicos y material necesario para montaje, soporte, bancada silentblocs y sujeción. Totalmente montado, comprobado y funcionando.
</t>
  </si>
  <si>
    <t xml:space="preserve">LMTMDDSP8015 </t>
  </si>
  <si>
    <t>REJILLA MADEL LMT-MISS-DD+SP 800x150</t>
  </si>
  <si>
    <t xml:space="preserve">Suministro y colocación de rejilla marca Madel modelo LMT LMT-MISS-DD+SP, de dimensiones 800x150mm (LxH) acabado M9016, con regulador de caudal SP, ángulos de remate y aletas orientables. Incluye parte proporcional de accesorios, elementos mecánicos y material necesario para montaje, soporte, bancada silentblocs y sujeción. Totalmente montado, comprobado y funcionando.
</t>
  </si>
  <si>
    <t xml:space="preserve">LMTMDDSP7015 </t>
  </si>
  <si>
    <t>REJILLA MADEL LMT-MISS-DD+SP 700x150</t>
  </si>
  <si>
    <t xml:space="preserve">Suministro y colocación de rejilla marca Madel modelo LMT LMT-MISS-DD+SP, de dimensiones 700x150mm (LxH) acabado M9016, con regulador de caudal SP, ángulos de remate y aletas orientables. Incluye parte proporcional de accesorios, elementos mecánicos y material necesario para montaje, soporte, bancada silentblocs y sujeción. Totalmente montado, comprobado y funcionando.
</t>
  </si>
  <si>
    <t>LMTMDDSP10010</t>
  </si>
  <si>
    <t>REJILLA MADEL LMT-MISS-DD+SP 1000x100</t>
  </si>
  <si>
    <t xml:space="preserve">Suministro y colocación de rejilla marca Madel modelo LMT LMT-MISS-DD+SP, de dimensiones 1000x100mm (LxH) acabado M9016, con regulador de caudal SP, ángulos de remate y aletas orientables. Incluye parte proporcional de accesorios, elementos mecánicos y material necesario para montaje, soporte, bancada silentblocs y sujeción. Totalmente montado, comprobado y funcionando.
</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</si>
  <si>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</si>
  <si>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</si>
  <si>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</si>
  <si>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AA.1.4</t>
  </si>
  <si>
    <t>AA.01</t>
  </si>
  <si>
    <t>AA</t>
  </si>
  <si>
    <t xml:space="preserve">V            </t>
  </si>
  <si>
    <t>INSTALACIÓN DE VENTILACION</t>
  </si>
  <si>
    <t xml:space="preserve">V.1          </t>
  </si>
  <si>
    <t>APARTAMENTO TIPO</t>
  </si>
  <si>
    <t xml:space="preserve">V.1.1        </t>
  </si>
  <si>
    <t>RED DE DISTRIBUCIÓN</t>
  </si>
  <si>
    <t xml:space="preserve">DESMVENRHT   </t>
  </si>
  <si>
    <t xml:space="preserve">Desmontaje de instalación existente de climatización. Incluso transporte y gastos de gestión de residuos incluidos.
</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</si>
  <si>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</si>
  <si>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</si>
  <si>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</si>
  <si>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</si>
  <si>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</si>
  <si>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</si>
  <si>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</si>
  <si>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</si>
  <si>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</si>
  <si>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V.1.1</t>
  </si>
  <si>
    <t xml:space="preserve">V.1.2        </t>
  </si>
  <si>
    <t>BOCAS EXTRACCION</t>
  </si>
  <si>
    <t xml:space="preserve">BWC10001     </t>
  </si>
  <si>
    <t>BOCA CIRCULAR REGULABLE BWC-C (S) DIM.100 MADEL</t>
  </si>
  <si>
    <t xml:space="preserve">Suministro e instalación de boca circular regulable Madel BWC-C (S) dim.100 mm construido en polipropileno color blanco, fijación mediante clips en el cuello de montaje. Incluso p.p. de accesorios y elementos de soportaje. 
</t>
  </si>
  <si>
    <t>V.1.2</t>
  </si>
  <si>
    <t xml:space="preserve">V.1.3        </t>
  </si>
  <si>
    <t>CAMPANA COCINA</t>
  </si>
  <si>
    <t xml:space="preserve">DESMCOCHT    </t>
  </si>
  <si>
    <t xml:space="preserve">MOCAMPEXT    </t>
  </si>
  <si>
    <t>MONTAJE DE CAMPANA EXTRACTORA</t>
  </si>
  <si>
    <t>UD</t>
  </si>
  <si>
    <t xml:space="preserve">Montaje de campana extractora con iluminación a suministrar por la propiedad. Incluso conexionado. Totalmente montado, terminado y funcionando. 
</t>
  </si>
  <si>
    <t>V.1.3</t>
  </si>
  <si>
    <t>V.1</t>
  </si>
  <si>
    <t xml:space="preserve">V.2          </t>
  </si>
  <si>
    <t>MONTANTES 2 HABITACIONES</t>
  </si>
  <si>
    <t xml:space="preserve">V.2.1        </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</si>
  <si>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</si>
  <si>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</si>
  <si>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</si>
  <si>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</si>
  <si>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</si>
  <si>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</si>
  <si>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</si>
  <si>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</si>
  <si>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</si>
  <si>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 xml:space="preserve">MANT160      </t>
  </si>
  <si>
    <t>MALLA ANTIPÁJAROS D160mm</t>
  </si>
  <si>
    <t xml:space="preserve">Suministro e instalación de malla antipájaros para conducto circular D160mm, de acero galvanizado en caliente.
 Incluso p.p. de accesorios y elementos de soportacion. 
</t>
  </si>
  <si>
    <t>V.2.1</t>
  </si>
  <si>
    <t xml:space="preserve">V.2.2        </t>
  </si>
  <si>
    <t>EXTRACTOR</t>
  </si>
  <si>
    <t xml:space="preserve">NEOLINEO200  </t>
  </si>
  <si>
    <t>EXTRACTOR EN LINEA SODECA NEOLINEO 200/V</t>
  </si>
  <si>
    <t xml:space="preserve">Suministro y montaje de Extractor en línea para conductos con cuerpo extraíble y tamaño reducido con rodamientos a bolas de larga duración, marca Sodeca Modelo Neolineo 200/V:
Q=460,8m3/h 
Pe=19/12 (v1/v2) mmca
Lw=70/65 (v1/v2) dB(A)
Ventilador:
• Envolvente en material plástico con doble aislamiento.
• Caja de bornes externa, con posición variable.
• Instalación rápida y sencilla.
Motor:
• Motores con rodamientos a bolas de larga duración. Protección IP44, de 2 velocidades y regulables.
• Monofásico 220-240 V 50/60 Hz.
• Temperatura de trabajo: -20 ºC +60 ºC.
Acabado:
• En material plástico de color blanco.
Totalmente montado, terminado y funcionando. 
</t>
  </si>
  <si>
    <t xml:space="preserve">NEOLINEO150  </t>
  </si>
  <si>
    <t>EXTRACTOR EN LINEA SODECA NEOLINEO 150/V</t>
  </si>
  <si>
    <t xml:space="preserve">Suministro y montaje de Extractor en línea para conductos con cuerpo extraíble y tamaño reducido con rodamientos a bolas de larga duración, marca Sodeca Modelo Neolineo 150/V:
Q=230,4m3/h 
Pe=14,2/7,5 (v1/v2) mmca
Lw=54/47 (v1/v2) dB(A)
Ventilador:
• Envolvente en material plástico con doble aislamiento.
• Caja de bornes externa, con posición variable.
• Instalación rápida y sencilla.
Motor:
• Motores con rodamientos a bolas de larga duración. Protección IP44, de 2 velocidades y regulables.
• Monofásico 220-240 V 50/60 Hz.
• Temperatura de trabajo: -20 ºC +60 ºC.
Acabado:
• En material plástico de color blanco.
Totalmente montado, terminado y funcionando. 
</t>
  </si>
  <si>
    <t>V.2.2</t>
  </si>
  <si>
    <t>V.2</t>
  </si>
  <si>
    <t xml:space="preserve">V.3          </t>
  </si>
  <si>
    <t>MONTANTES 1 HABITACION</t>
  </si>
  <si>
    <t xml:space="preserve">V.3.1        </t>
  </si>
  <si>
    <t xml:space="preserve">MANT125      </t>
  </si>
  <si>
    <t>MALLA ANTIPÁJAROS D125mm</t>
  </si>
  <si>
    <t xml:space="preserve">Suministro e instalación de malla antipájaros para conducto circular D125mm, de acero galvanizado en caliente.
 Incluso p.p. de accesorios y elementos de soportacion. 
</t>
  </si>
  <si>
    <t>V.3.1</t>
  </si>
  <si>
    <t xml:space="preserve">V.3.2        </t>
  </si>
  <si>
    <t>V.3.2</t>
  </si>
  <si>
    <t>V.3</t>
  </si>
  <si>
    <t xml:space="preserve">V.4          </t>
  </si>
  <si>
    <t>MONTANTES 1 HABITACION 2 PLANTAS</t>
  </si>
  <si>
    <t xml:space="preserve">V.4.1        </t>
  </si>
  <si>
    <t xml:space="preserve">MANT100      </t>
  </si>
  <si>
    <t>MALLA ANTIPÁJAROS D100mm</t>
  </si>
  <si>
    <t>V.4.1</t>
  </si>
  <si>
    <t xml:space="preserve">V.4.2        </t>
  </si>
  <si>
    <t xml:space="preserve">NEOLINEO100  </t>
  </si>
  <si>
    <t>EXTRACTOR EN LINEA SODECA NEOLINEO 100/V</t>
  </si>
  <si>
    <t xml:space="preserve">Suministro y montaje de Extractor en línea para conductos con cuerpo extraíble y tamaño reducido con rodamientos a bolas de larga duración, marca Sodeca Modelo Neolineo 100/V:
Q=115,2m3/h 
Pe=8,9/6,3 (v1/v2) mmca
Lw=51/48 (v1/v2) dB(A)
Ventilador:
• Envolvente en material plástico con doble aislamiento.
• Caja de bornes externa, con posición variable.
• Instalación rápida y sencilla.
Motor:
• Motores con rodamientos a bolas de larga duración. Protección IP44, de 2 velocidades y regulables.
• Monofásico 220-240 V 50/60 Hz.
• Temperatura de trabajo: -20 ºC +60 ºC.
Acabado:
• En material plástico de color blanco.
Totalmente montado, terminado y funcionando. 
</t>
  </si>
  <si>
    <t>V.4.2</t>
  </si>
  <si>
    <t>V.4</t>
  </si>
  <si>
    <t xml:space="preserve">VZZNN        </t>
  </si>
  <si>
    <t>ZONAS NOBLES</t>
  </si>
  <si>
    <t xml:space="preserve">VZZNN01      </t>
  </si>
  <si>
    <t>RECUPERADORES</t>
  </si>
  <si>
    <t xml:space="preserve">VZZNN02      </t>
  </si>
  <si>
    <t>VZZNN</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</si>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</sst>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5">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49" fontId="3" fillId="0" borderId="0" xfId="0" applyNumberFormat="1" applyFont="1" applyAlignment="1">
      <alignment vertical="top"/>
    </xf>
    <xf numFmtId="4"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0" fontId="3" fillId="5" borderId="0" xfId="0" applyFont="1" applyFill="1" applyAlignment="1">
      <alignment vertical="top"/>
    </xf>
    <xf numFmtId="3" fontId="3" fillId="0" borderId="0" xfId="0" applyNumberFormat="1" applyFont="1" applyAlignment="1">
      <alignment vertical="top"/>
    </xf>
    <xf numFmtId="4" fontId="4" fillId="4" borderId="0" xfId="0" applyNumberFormat="1" applyFont="1" applyFill="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49" fontId="4"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AFF5-BF05-4768-B5A5-D9491237E33D}">
  <dimension ref="A1:G257"/>
  <sheetViews>
    <sheetView tabSelected="1" workbookViewId="0">
      <pane xSplit="4" ySplit="3" topLeftCell="E4" activePane="bottomRight" state="frozen"/>
      <selection pane="topRight" activeCell="E1" sqref="E1"/>
      <selection pane="bottomLeft" activeCell="A4" sqref="A4"/>
      <selection pane="bottomRight" activeCell="D14" sqref="D14"/>
    </sheetView>
  </sheetViews>
  <sheetFormatPr baseColWidth="10" defaultRowHeight="14.6" x14ac:dyDescent="0.4"/>
  <cols>
    <col min="1" max="1" width="14.3046875" bestFit="1" customWidth="1"/>
    <col min="2" max="2" width="5.765625" bestFit="1" customWidth="1"/>
    <col min="3" max="3" width="3.3828125" bestFit="1" customWidth="1"/>
    <col min="4" max="4" width="85.4609375" customWidth="1"/>
    <col min="5" max="5" width="7.15234375" bestFit="1" customWidth="1"/>
    <col min="6" max="6" width="7.61328125" bestFit="1" customWidth="1"/>
    <col min="7" max="7" width="7.15234375" bestFit="1" customWidth="1"/>
  </cols>
  <sheetData>
    <row r="1" spans="1:7" x14ac:dyDescent="0.4">
      <c r="A1" s="1" t="s">
        <v>0</v>
      </c>
      <c r="B1" s="2"/>
      <c r="C1" s="2"/>
      <c r="D1" s="2"/>
      <c r="E1" s="2"/>
      <c r="F1" s="2"/>
      <c r="G1" s="2"/>
    </row>
    <row r="2" spans="1:7" ht="18.45" x14ac:dyDescent="0.4">
      <c r="A2" s="3" t="s">
        <v>1</v>
      </c>
      <c r="B2" s="4"/>
      <c r="C2" s="4"/>
      <c r="D2" s="4"/>
      <c r="E2" s="4"/>
      <c r="F2" s="4"/>
      <c r="G2" s="4"/>
    </row>
    <row r="3" spans="1:7" x14ac:dyDescent="0.4">
      <c r="A3" s="5" t="s">
        <v>2</v>
      </c>
      <c r="B3" s="5" t="s">
        <v>5</v>
      </c>
      <c r="C3" s="5" t="s">
        <v>6</v>
      </c>
      <c r="D3" s="19" t="s">
        <v>3</v>
      </c>
      <c r="E3" s="6" t="s">
        <v>7</v>
      </c>
      <c r="F3" s="6" t="s">
        <v>8</v>
      </c>
      <c r="G3" s="6" t="s">
        <v>4</v>
      </c>
    </row>
    <row r="4" spans="1:7" x14ac:dyDescent="0.4">
      <c r="A4" s="7" t="s">
        <v>9</v>
      </c>
      <c r="B4" s="7" t="s">
        <v>11</v>
      </c>
      <c r="C4" s="7" t="s">
        <v>12</v>
      </c>
      <c r="D4" s="20" t="s">
        <v>10</v>
      </c>
      <c r="E4" s="8">
        <f>E154</f>
        <v>1</v>
      </c>
      <c r="F4" s="9">
        <f>F154</f>
        <v>58932.3</v>
      </c>
      <c r="G4" s="9">
        <f>G154</f>
        <v>58932.3</v>
      </c>
    </row>
    <row r="5" spans="1:7" x14ac:dyDescent="0.4">
      <c r="A5" s="10"/>
      <c r="B5" s="10"/>
      <c r="C5" s="10"/>
      <c r="D5" s="15"/>
      <c r="E5" s="10"/>
      <c r="F5" s="10"/>
      <c r="G5" s="10"/>
    </row>
    <row r="6" spans="1:7" x14ac:dyDescent="0.4">
      <c r="A6" s="11" t="s">
        <v>13</v>
      </c>
      <c r="B6" s="11" t="s">
        <v>11</v>
      </c>
      <c r="C6" s="11" t="s">
        <v>15</v>
      </c>
      <c r="D6" s="21" t="s">
        <v>14</v>
      </c>
      <c r="E6" s="9">
        <f>E152</f>
        <v>1</v>
      </c>
      <c r="F6" s="9">
        <f>F152</f>
        <v>58932.3</v>
      </c>
      <c r="G6" s="9">
        <f>G152</f>
        <v>58932.3</v>
      </c>
    </row>
    <row r="7" spans="1:7" x14ac:dyDescent="0.4">
      <c r="A7" s="11" t="s">
        <v>16</v>
      </c>
      <c r="B7" s="11" t="s">
        <v>11</v>
      </c>
      <c r="C7" s="11" t="s">
        <v>15</v>
      </c>
      <c r="D7" s="21" t="s">
        <v>17</v>
      </c>
      <c r="E7" s="9">
        <f>E10</f>
        <v>1</v>
      </c>
      <c r="F7" s="9">
        <f>F10</f>
        <v>100</v>
      </c>
      <c r="G7" s="9">
        <f>G10</f>
        <v>100</v>
      </c>
    </row>
    <row r="8" spans="1:7" x14ac:dyDescent="0.4">
      <c r="A8" s="12" t="s">
        <v>18</v>
      </c>
      <c r="B8" s="12" t="s">
        <v>20</v>
      </c>
      <c r="C8" s="12" t="s">
        <v>12</v>
      </c>
      <c r="D8" s="22" t="s">
        <v>19</v>
      </c>
      <c r="E8" s="13">
        <v>1</v>
      </c>
      <c r="F8" s="13">
        <v>100</v>
      </c>
      <c r="G8" s="14">
        <f>ROUND(E8*F8,2)</f>
        <v>100</v>
      </c>
    </row>
    <row r="9" spans="1:7" ht="21.45" x14ac:dyDescent="0.4">
      <c r="A9" s="10"/>
      <c r="B9" s="10"/>
      <c r="C9" s="10"/>
      <c r="D9" s="15" t="s">
        <v>21</v>
      </c>
      <c r="E9" s="10"/>
      <c r="F9" s="10"/>
      <c r="G9" s="10"/>
    </row>
    <row r="10" spans="1:7" x14ac:dyDescent="0.4">
      <c r="A10" s="10"/>
      <c r="B10" s="10"/>
      <c r="C10" s="10"/>
      <c r="D10" s="23" t="s">
        <v>22</v>
      </c>
      <c r="E10" s="13">
        <v>1</v>
      </c>
      <c r="F10" s="9">
        <f>G8</f>
        <v>100</v>
      </c>
      <c r="G10" s="9">
        <f>ROUND(F10*E10,2)</f>
        <v>100</v>
      </c>
    </row>
    <row r="11" spans="1:7" x14ac:dyDescent="0.4">
      <c r="A11" s="16"/>
      <c r="B11" s="16"/>
      <c r="C11" s="16"/>
      <c r="D11" s="24"/>
      <c r="E11" s="16"/>
      <c r="F11" s="16"/>
      <c r="G11" s="16"/>
    </row>
    <row r="12" spans="1:7" x14ac:dyDescent="0.4">
      <c r="A12" s="11" t="s">
        <v>23</v>
      </c>
      <c r="B12" s="11" t="s">
        <v>11</v>
      </c>
      <c r="C12" s="11" t="s">
        <v>15</v>
      </c>
      <c r="D12" s="21" t="s">
        <v>24</v>
      </c>
      <c r="E12" s="9">
        <f>E27</f>
        <v>1</v>
      </c>
      <c r="F12" s="9">
        <f>F27</f>
        <v>1335.1599999999999</v>
      </c>
      <c r="G12" s="9">
        <f>G27</f>
        <v>1335.16</v>
      </c>
    </row>
    <row r="13" spans="1:7" x14ac:dyDescent="0.4">
      <c r="A13" s="12" t="s">
        <v>25</v>
      </c>
      <c r="B13" s="12" t="s">
        <v>20</v>
      </c>
      <c r="C13" s="12" t="s">
        <v>27</v>
      </c>
      <c r="D13" s="22" t="s">
        <v>26</v>
      </c>
      <c r="E13" s="13">
        <v>4</v>
      </c>
      <c r="F13" s="13">
        <v>0</v>
      </c>
      <c r="G13" s="14">
        <f>ROUND(E13*F13,2)</f>
        <v>0</v>
      </c>
    </row>
    <row r="14" spans="1:7" ht="160.75" x14ac:dyDescent="0.4">
      <c r="A14" s="10"/>
      <c r="B14" s="10"/>
      <c r="C14" s="10"/>
      <c r="D14" s="15" t="s">
        <v>28</v>
      </c>
      <c r="E14" s="10"/>
      <c r="F14" s="10"/>
      <c r="G14" s="10"/>
    </row>
    <row r="15" spans="1:7" x14ac:dyDescent="0.4">
      <c r="A15" s="12" t="s">
        <v>29</v>
      </c>
      <c r="B15" s="12" t="s">
        <v>20</v>
      </c>
      <c r="C15" s="12" t="s">
        <v>27</v>
      </c>
      <c r="D15" s="22" t="s">
        <v>30</v>
      </c>
      <c r="E15" s="13">
        <v>1</v>
      </c>
      <c r="F15" s="13">
        <v>0</v>
      </c>
      <c r="G15" s="14">
        <f>ROUND(E15*F15,2)</f>
        <v>0</v>
      </c>
    </row>
    <row r="16" spans="1:7" ht="160.75" x14ac:dyDescent="0.4">
      <c r="A16" s="10"/>
      <c r="B16" s="10"/>
      <c r="C16" s="10"/>
      <c r="D16" s="15" t="s">
        <v>31</v>
      </c>
      <c r="E16" s="10"/>
      <c r="F16" s="10"/>
      <c r="G16" s="10"/>
    </row>
    <row r="17" spans="1:7" x14ac:dyDescent="0.4">
      <c r="A17" s="12" t="s">
        <v>32</v>
      </c>
      <c r="B17" s="12" t="s">
        <v>20</v>
      </c>
      <c r="C17" s="12" t="s">
        <v>12</v>
      </c>
      <c r="D17" s="22" t="s">
        <v>33</v>
      </c>
      <c r="E17" s="13">
        <v>-4</v>
      </c>
      <c r="F17" s="13">
        <v>0</v>
      </c>
      <c r="G17" s="14">
        <f>ROUND(E17*F17,2)</f>
        <v>0</v>
      </c>
    </row>
    <row r="18" spans="1:7" ht="171.45" x14ac:dyDescent="0.4">
      <c r="A18" s="10"/>
      <c r="B18" s="10"/>
      <c r="C18" s="10"/>
      <c r="D18" s="15" t="s">
        <v>34</v>
      </c>
      <c r="E18" s="10"/>
      <c r="F18" s="10"/>
      <c r="G18" s="10"/>
    </row>
    <row r="19" spans="1:7" x14ac:dyDescent="0.4">
      <c r="A19" s="12" t="s">
        <v>35</v>
      </c>
      <c r="B19" s="12" t="s">
        <v>20</v>
      </c>
      <c r="C19" s="12" t="s">
        <v>27</v>
      </c>
      <c r="D19" s="22" t="s">
        <v>36</v>
      </c>
      <c r="E19" s="13">
        <v>1</v>
      </c>
      <c r="F19" s="13">
        <v>552.27</v>
      </c>
      <c r="G19" s="14">
        <f>ROUND(E19*F19,2)</f>
        <v>552.27</v>
      </c>
    </row>
    <row r="20" spans="1:7" ht="192.9" x14ac:dyDescent="0.4">
      <c r="A20" s="10"/>
      <c r="B20" s="10"/>
      <c r="C20" s="10"/>
      <c r="D20" s="15" t="s">
        <v>37</v>
      </c>
      <c r="E20" s="10"/>
      <c r="F20" s="10"/>
      <c r="G20" s="10"/>
    </row>
    <row r="21" spans="1:7" x14ac:dyDescent="0.4">
      <c r="A21" s="12" t="s">
        <v>38</v>
      </c>
      <c r="B21" s="12" t="s">
        <v>20</v>
      </c>
      <c r="C21" s="12" t="s">
        <v>27</v>
      </c>
      <c r="D21" s="22" t="s">
        <v>39</v>
      </c>
      <c r="E21" s="13">
        <v>1</v>
      </c>
      <c r="F21" s="13">
        <v>591.72</v>
      </c>
      <c r="G21" s="14">
        <f>ROUND(E21*F21,2)</f>
        <v>591.72</v>
      </c>
    </row>
    <row r="22" spans="1:7" ht="203.6" x14ac:dyDescent="0.4">
      <c r="A22" s="10"/>
      <c r="B22" s="10"/>
      <c r="C22" s="10"/>
      <c r="D22" s="15" t="s">
        <v>40</v>
      </c>
      <c r="E22" s="10"/>
      <c r="F22" s="10"/>
      <c r="G22" s="10"/>
    </row>
    <row r="23" spans="1:7" x14ac:dyDescent="0.4">
      <c r="A23" s="12" t="s">
        <v>41</v>
      </c>
      <c r="B23" s="12" t="s">
        <v>20</v>
      </c>
      <c r="C23" s="12" t="s">
        <v>27</v>
      </c>
      <c r="D23" s="22" t="s">
        <v>42</v>
      </c>
      <c r="E23" s="13">
        <v>1</v>
      </c>
      <c r="F23" s="13">
        <v>631.16999999999996</v>
      </c>
      <c r="G23" s="14">
        <f>ROUND(E23*F23,2)</f>
        <v>631.16999999999996</v>
      </c>
    </row>
    <row r="24" spans="1:7" ht="192.9" x14ac:dyDescent="0.4">
      <c r="A24" s="10"/>
      <c r="B24" s="10"/>
      <c r="C24" s="10"/>
      <c r="D24" s="15" t="s">
        <v>43</v>
      </c>
      <c r="E24" s="10"/>
      <c r="F24" s="10"/>
      <c r="G24" s="10"/>
    </row>
    <row r="25" spans="1:7" x14ac:dyDescent="0.4">
      <c r="A25" s="12" t="s">
        <v>44</v>
      </c>
      <c r="B25" s="12" t="s">
        <v>20</v>
      </c>
      <c r="C25" s="12" t="s">
        <v>27</v>
      </c>
      <c r="D25" s="22" t="s">
        <v>45</v>
      </c>
      <c r="E25" s="13">
        <v>-4</v>
      </c>
      <c r="F25" s="13">
        <v>110</v>
      </c>
      <c r="G25" s="14">
        <f>ROUND(E25*F25,2)</f>
        <v>-440</v>
      </c>
    </row>
    <row r="26" spans="1:7" ht="128.6" x14ac:dyDescent="0.4">
      <c r="A26" s="10"/>
      <c r="B26" s="10"/>
      <c r="C26" s="10"/>
      <c r="D26" s="15" t="s">
        <v>46</v>
      </c>
      <c r="E26" s="10"/>
      <c r="F26" s="10"/>
      <c r="G26" s="10"/>
    </row>
    <row r="27" spans="1:7" x14ac:dyDescent="0.4">
      <c r="A27" s="10"/>
      <c r="B27" s="10"/>
      <c r="C27" s="10"/>
      <c r="D27" s="23" t="s">
        <v>47</v>
      </c>
      <c r="E27" s="13">
        <v>1</v>
      </c>
      <c r="F27" s="9">
        <f>G13+G15+G17+G19+G21+G23+G25</f>
        <v>1335.1599999999999</v>
      </c>
      <c r="G27" s="9">
        <f>ROUND(F27*E27,2)</f>
        <v>1335.16</v>
      </c>
    </row>
    <row r="28" spans="1:7" x14ac:dyDescent="0.4">
      <c r="A28" s="16"/>
      <c r="B28" s="16"/>
      <c r="C28" s="16"/>
      <c r="D28" s="24"/>
      <c r="E28" s="16"/>
      <c r="F28" s="16"/>
      <c r="G28" s="16"/>
    </row>
    <row r="29" spans="1:7" x14ac:dyDescent="0.4">
      <c r="A29" s="11" t="s">
        <v>48</v>
      </c>
      <c r="B29" s="11" t="s">
        <v>11</v>
      </c>
      <c r="C29" s="11" t="s">
        <v>15</v>
      </c>
      <c r="D29" s="21" t="s">
        <v>49</v>
      </c>
      <c r="E29" s="9">
        <f>E96</f>
        <v>1</v>
      </c>
      <c r="F29" s="9">
        <f>F96</f>
        <v>34684.000000000007</v>
      </c>
      <c r="G29" s="9">
        <f>G96</f>
        <v>34684</v>
      </c>
    </row>
    <row r="30" spans="1:7" x14ac:dyDescent="0.4">
      <c r="A30" s="12" t="s">
        <v>50</v>
      </c>
      <c r="B30" s="12" t="s">
        <v>20</v>
      </c>
      <c r="C30" s="12" t="s">
        <v>52</v>
      </c>
      <c r="D30" s="22" t="s">
        <v>51</v>
      </c>
      <c r="E30" s="13">
        <v>446.4</v>
      </c>
      <c r="F30" s="13">
        <v>8.26</v>
      </c>
      <c r="G30" s="14">
        <f>ROUND(E30*F30,2)</f>
        <v>3687.26</v>
      </c>
    </row>
    <row r="31" spans="1:7" ht="42.9" x14ac:dyDescent="0.4">
      <c r="A31" s="10"/>
      <c r="B31" s="10"/>
      <c r="C31" s="10"/>
      <c r="D31" s="15" t="s">
        <v>53</v>
      </c>
      <c r="E31" s="10"/>
      <c r="F31" s="10"/>
      <c r="G31" s="10"/>
    </row>
    <row r="32" spans="1:7" x14ac:dyDescent="0.4">
      <c r="A32" s="12" t="s">
        <v>54</v>
      </c>
      <c r="B32" s="12" t="s">
        <v>20</v>
      </c>
      <c r="C32" s="12" t="s">
        <v>52</v>
      </c>
      <c r="D32" s="22" t="s">
        <v>55</v>
      </c>
      <c r="E32" s="13">
        <v>405.6</v>
      </c>
      <c r="F32" s="13">
        <v>16.23</v>
      </c>
      <c r="G32" s="14">
        <f>ROUND(E32*F32,2)</f>
        <v>6582.89</v>
      </c>
    </row>
    <row r="33" spans="1:7" ht="85.75" x14ac:dyDescent="0.4">
      <c r="A33" s="10"/>
      <c r="B33" s="10"/>
      <c r="C33" s="10"/>
      <c r="D33" s="15" t="s">
        <v>56</v>
      </c>
      <c r="E33" s="10"/>
      <c r="F33" s="10"/>
      <c r="G33" s="10"/>
    </row>
    <row r="34" spans="1:7" x14ac:dyDescent="0.4">
      <c r="A34" s="12" t="s">
        <v>57</v>
      </c>
      <c r="B34" s="12" t="s">
        <v>20</v>
      </c>
      <c r="C34" s="12" t="s">
        <v>52</v>
      </c>
      <c r="D34" s="22" t="s">
        <v>58</v>
      </c>
      <c r="E34" s="13">
        <v>86.4</v>
      </c>
      <c r="F34" s="13">
        <v>13.99</v>
      </c>
      <c r="G34" s="14">
        <f>ROUND(E34*F34,2)</f>
        <v>1208.74</v>
      </c>
    </row>
    <row r="35" spans="1:7" ht="42.9" x14ac:dyDescent="0.4">
      <c r="A35" s="10"/>
      <c r="B35" s="10"/>
      <c r="C35" s="10"/>
      <c r="D35" s="15" t="s">
        <v>59</v>
      </c>
      <c r="E35" s="10"/>
      <c r="F35" s="10"/>
      <c r="G35" s="10"/>
    </row>
    <row r="36" spans="1:7" x14ac:dyDescent="0.4">
      <c r="A36" s="12" t="s">
        <v>60</v>
      </c>
      <c r="B36" s="12" t="s">
        <v>20</v>
      </c>
      <c r="C36" s="12" t="s">
        <v>52</v>
      </c>
      <c r="D36" s="22" t="s">
        <v>61</v>
      </c>
      <c r="E36" s="13">
        <v>67.7</v>
      </c>
      <c r="F36" s="13">
        <v>18.14</v>
      </c>
      <c r="G36" s="14">
        <f>ROUND(E36*F36,2)</f>
        <v>1228.08</v>
      </c>
    </row>
    <row r="37" spans="1:7" ht="42.9" x14ac:dyDescent="0.4">
      <c r="A37" s="10"/>
      <c r="B37" s="10"/>
      <c r="C37" s="10"/>
      <c r="D37" s="15" t="s">
        <v>62</v>
      </c>
      <c r="E37" s="10"/>
      <c r="F37" s="10"/>
      <c r="G37" s="10"/>
    </row>
    <row r="38" spans="1:7" x14ac:dyDescent="0.4">
      <c r="A38" s="12" t="s">
        <v>63</v>
      </c>
      <c r="B38" s="12" t="s">
        <v>20</v>
      </c>
      <c r="C38" s="12" t="s">
        <v>52</v>
      </c>
      <c r="D38" s="22" t="s">
        <v>64</v>
      </c>
      <c r="E38" s="13">
        <v>84.6</v>
      </c>
      <c r="F38" s="13">
        <v>26.6</v>
      </c>
      <c r="G38" s="14">
        <f>ROUND(E38*F38,2)</f>
        <v>2250.36</v>
      </c>
    </row>
    <row r="39" spans="1:7" ht="107.15" x14ac:dyDescent="0.4">
      <c r="A39" s="10"/>
      <c r="B39" s="10"/>
      <c r="C39" s="10"/>
      <c r="D39" s="15" t="s">
        <v>65</v>
      </c>
      <c r="E39" s="10"/>
      <c r="F39" s="10"/>
      <c r="G39" s="10"/>
    </row>
    <row r="40" spans="1:7" x14ac:dyDescent="0.4">
      <c r="A40" s="12" t="s">
        <v>66</v>
      </c>
      <c r="B40" s="12" t="s">
        <v>20</v>
      </c>
      <c r="C40" s="12" t="s">
        <v>52</v>
      </c>
      <c r="D40" s="22" t="s">
        <v>67</v>
      </c>
      <c r="E40" s="13">
        <v>-28</v>
      </c>
      <c r="F40" s="13">
        <v>34.81</v>
      </c>
      <c r="G40" s="14">
        <f>ROUND(E40*F40,2)</f>
        <v>-974.68</v>
      </c>
    </row>
    <row r="41" spans="1:7" ht="96.45" x14ac:dyDescent="0.4">
      <c r="A41" s="10"/>
      <c r="B41" s="10"/>
      <c r="C41" s="10"/>
      <c r="D41" s="15" t="s">
        <v>68</v>
      </c>
      <c r="E41" s="10"/>
      <c r="F41" s="10"/>
      <c r="G41" s="10"/>
    </row>
    <row r="42" spans="1:7" x14ac:dyDescent="0.4">
      <c r="A42" s="12" t="s">
        <v>69</v>
      </c>
      <c r="B42" s="12" t="s">
        <v>20</v>
      </c>
      <c r="C42" s="12" t="s">
        <v>52</v>
      </c>
      <c r="D42" s="22" t="s">
        <v>70</v>
      </c>
      <c r="E42" s="13">
        <v>21.6</v>
      </c>
      <c r="F42" s="13">
        <v>41.8</v>
      </c>
      <c r="G42" s="14">
        <f>ROUND(E42*F42,2)</f>
        <v>902.88</v>
      </c>
    </row>
    <row r="43" spans="1:7" ht="96.45" x14ac:dyDescent="0.4">
      <c r="A43" s="10"/>
      <c r="B43" s="10"/>
      <c r="C43" s="10"/>
      <c r="D43" s="15" t="s">
        <v>71</v>
      </c>
      <c r="E43" s="10"/>
      <c r="F43" s="10"/>
      <c r="G43" s="10"/>
    </row>
    <row r="44" spans="1:7" x14ac:dyDescent="0.4">
      <c r="A44" s="12" t="s">
        <v>72</v>
      </c>
      <c r="B44" s="12" t="s">
        <v>20</v>
      </c>
      <c r="C44" s="12" t="s">
        <v>52</v>
      </c>
      <c r="D44" s="22" t="s">
        <v>73</v>
      </c>
      <c r="E44" s="13">
        <v>50.4</v>
      </c>
      <c r="F44" s="13">
        <v>63.65</v>
      </c>
      <c r="G44" s="14">
        <f>ROUND(E44*F44,2)</f>
        <v>3207.96</v>
      </c>
    </row>
    <row r="45" spans="1:7" x14ac:dyDescent="0.4">
      <c r="A45" s="10"/>
      <c r="B45" s="10"/>
      <c r="C45" s="10"/>
      <c r="D45" s="15"/>
      <c r="E45" s="10"/>
      <c r="F45" s="10"/>
      <c r="G45" s="10"/>
    </row>
    <row r="46" spans="1:7" x14ac:dyDescent="0.4">
      <c r="A46" s="12" t="s">
        <v>74</v>
      </c>
      <c r="B46" s="12" t="s">
        <v>20</v>
      </c>
      <c r="C46" s="12" t="s">
        <v>52</v>
      </c>
      <c r="D46" s="22" t="s">
        <v>75</v>
      </c>
      <c r="E46" s="13">
        <v>446.4</v>
      </c>
      <c r="F46" s="13">
        <v>8.6199999999999992</v>
      </c>
      <c r="G46" s="14">
        <f>ROUND(E46*F46,2)</f>
        <v>3847.97</v>
      </c>
    </row>
    <row r="47" spans="1:7" ht="85.75" x14ac:dyDescent="0.4">
      <c r="A47" s="10"/>
      <c r="B47" s="10"/>
      <c r="C47" s="10"/>
      <c r="D47" s="15" t="s">
        <v>76</v>
      </c>
      <c r="E47" s="10"/>
      <c r="F47" s="10"/>
      <c r="G47" s="10"/>
    </row>
    <row r="48" spans="1:7" x14ac:dyDescent="0.4">
      <c r="A48" s="12" t="s">
        <v>77</v>
      </c>
      <c r="B48" s="12" t="s">
        <v>20</v>
      </c>
      <c r="C48" s="12" t="s">
        <v>52</v>
      </c>
      <c r="D48" s="22" t="s">
        <v>78</v>
      </c>
      <c r="E48" s="13">
        <v>405.6</v>
      </c>
      <c r="F48" s="13">
        <v>11</v>
      </c>
      <c r="G48" s="14">
        <f>ROUND(E48*F48,2)</f>
        <v>4461.6000000000004</v>
      </c>
    </row>
    <row r="49" spans="1:7" ht="85.75" x14ac:dyDescent="0.4">
      <c r="A49" s="10"/>
      <c r="B49" s="10"/>
      <c r="C49" s="10"/>
      <c r="D49" s="15" t="s">
        <v>79</v>
      </c>
      <c r="E49" s="10"/>
      <c r="F49" s="10"/>
      <c r="G49" s="10"/>
    </row>
    <row r="50" spans="1:7" x14ac:dyDescent="0.4">
      <c r="A50" s="12" t="s">
        <v>80</v>
      </c>
      <c r="B50" s="12" t="s">
        <v>20</v>
      </c>
      <c r="C50" s="12" t="s">
        <v>52</v>
      </c>
      <c r="D50" s="22" t="s">
        <v>81</v>
      </c>
      <c r="E50" s="13">
        <v>86.4</v>
      </c>
      <c r="F50" s="13">
        <v>12.99</v>
      </c>
      <c r="G50" s="14">
        <f>ROUND(E50*F50,2)</f>
        <v>1122.3399999999999</v>
      </c>
    </row>
    <row r="51" spans="1:7" ht="32.15" x14ac:dyDescent="0.4">
      <c r="A51" s="10"/>
      <c r="B51" s="10"/>
      <c r="C51" s="10"/>
      <c r="D51" s="15" t="s">
        <v>82</v>
      </c>
      <c r="E51" s="10"/>
      <c r="F51" s="10"/>
      <c r="G51" s="10"/>
    </row>
    <row r="52" spans="1:7" x14ac:dyDescent="0.4">
      <c r="A52" s="12" t="s">
        <v>83</v>
      </c>
      <c r="B52" s="12" t="s">
        <v>20</v>
      </c>
      <c r="C52" s="12" t="s">
        <v>52</v>
      </c>
      <c r="D52" s="22" t="s">
        <v>84</v>
      </c>
      <c r="E52" s="13">
        <v>67.7</v>
      </c>
      <c r="F52" s="13">
        <v>13.6</v>
      </c>
      <c r="G52" s="14">
        <f>ROUND(E52*F52,2)</f>
        <v>920.72</v>
      </c>
    </row>
    <row r="53" spans="1:7" ht="32.15" x14ac:dyDescent="0.4">
      <c r="A53" s="10"/>
      <c r="B53" s="10"/>
      <c r="C53" s="10"/>
      <c r="D53" s="15" t="s">
        <v>85</v>
      </c>
      <c r="E53" s="10"/>
      <c r="F53" s="10"/>
      <c r="G53" s="10"/>
    </row>
    <row r="54" spans="1:7" x14ac:dyDescent="0.4">
      <c r="A54" s="12" t="s">
        <v>86</v>
      </c>
      <c r="B54" s="12" t="s">
        <v>20</v>
      </c>
      <c r="C54" s="12" t="s">
        <v>52</v>
      </c>
      <c r="D54" s="22" t="s">
        <v>87</v>
      </c>
      <c r="E54" s="13">
        <v>84.6</v>
      </c>
      <c r="F54" s="13">
        <v>15.46</v>
      </c>
      <c r="G54" s="14">
        <f>ROUND(E54*F54,2)</f>
        <v>1307.92</v>
      </c>
    </row>
    <row r="55" spans="1:7" ht="75" x14ac:dyDescent="0.4">
      <c r="A55" s="10"/>
      <c r="B55" s="10"/>
      <c r="C55" s="10"/>
      <c r="D55" s="15" t="s">
        <v>88</v>
      </c>
      <c r="E55" s="10"/>
      <c r="F55" s="10"/>
      <c r="G55" s="10"/>
    </row>
    <row r="56" spans="1:7" x14ac:dyDescent="0.4">
      <c r="A56" s="12" t="s">
        <v>89</v>
      </c>
      <c r="B56" s="12" t="s">
        <v>20</v>
      </c>
      <c r="C56" s="12" t="s">
        <v>52</v>
      </c>
      <c r="D56" s="22" t="s">
        <v>90</v>
      </c>
      <c r="E56" s="13">
        <v>-28</v>
      </c>
      <c r="F56" s="13">
        <v>16.72</v>
      </c>
      <c r="G56" s="14">
        <f>ROUND(E56*F56,2)</f>
        <v>-468.16</v>
      </c>
    </row>
    <row r="57" spans="1:7" ht="75" x14ac:dyDescent="0.4">
      <c r="A57" s="10"/>
      <c r="B57" s="10"/>
      <c r="C57" s="10"/>
      <c r="D57" s="15" t="s">
        <v>91</v>
      </c>
      <c r="E57" s="10"/>
      <c r="F57" s="10"/>
      <c r="G57" s="10"/>
    </row>
    <row r="58" spans="1:7" x14ac:dyDescent="0.4">
      <c r="A58" s="12" t="s">
        <v>92</v>
      </c>
      <c r="B58" s="12" t="s">
        <v>20</v>
      </c>
      <c r="C58" s="12" t="s">
        <v>52</v>
      </c>
      <c r="D58" s="22" t="s">
        <v>93</v>
      </c>
      <c r="E58" s="13">
        <v>21.6</v>
      </c>
      <c r="F58" s="13">
        <v>18.53</v>
      </c>
      <c r="G58" s="14">
        <f>ROUND(E58*F58,2)</f>
        <v>400.25</v>
      </c>
    </row>
    <row r="59" spans="1:7" ht="75" x14ac:dyDescent="0.4">
      <c r="A59" s="10"/>
      <c r="B59" s="10"/>
      <c r="C59" s="10"/>
      <c r="D59" s="15" t="s">
        <v>94</v>
      </c>
      <c r="E59" s="10"/>
      <c r="F59" s="10"/>
      <c r="G59" s="10"/>
    </row>
    <row r="60" spans="1:7" x14ac:dyDescent="0.4">
      <c r="A60" s="12" t="s">
        <v>95</v>
      </c>
      <c r="B60" s="12" t="s">
        <v>20</v>
      </c>
      <c r="C60" s="12" t="s">
        <v>52</v>
      </c>
      <c r="D60" s="22" t="s">
        <v>96</v>
      </c>
      <c r="E60" s="13">
        <v>50.4</v>
      </c>
      <c r="F60" s="13">
        <v>27.16</v>
      </c>
      <c r="G60" s="14">
        <f>ROUND(E60*F60,2)</f>
        <v>1368.86</v>
      </c>
    </row>
    <row r="61" spans="1:7" ht="75" x14ac:dyDescent="0.4">
      <c r="A61" s="10"/>
      <c r="B61" s="10"/>
      <c r="C61" s="10"/>
      <c r="D61" s="15" t="s">
        <v>97</v>
      </c>
      <c r="E61" s="10"/>
      <c r="F61" s="10"/>
      <c r="G61" s="10"/>
    </row>
    <row r="62" spans="1:7" x14ac:dyDescent="0.4">
      <c r="A62" s="12" t="s">
        <v>98</v>
      </c>
      <c r="B62" s="12" t="s">
        <v>20</v>
      </c>
      <c r="C62" s="12" t="s">
        <v>12</v>
      </c>
      <c r="D62" s="22" t="s">
        <v>99</v>
      </c>
      <c r="E62" s="13">
        <v>22</v>
      </c>
      <c r="F62" s="13">
        <v>46.35</v>
      </c>
      <c r="G62" s="14">
        <f>ROUND(E62*F62,2)</f>
        <v>1019.7</v>
      </c>
    </row>
    <row r="63" spans="1:7" ht="75" x14ac:dyDescent="0.4">
      <c r="A63" s="10"/>
      <c r="B63" s="10"/>
      <c r="C63" s="10"/>
      <c r="D63" s="15" t="s">
        <v>100</v>
      </c>
      <c r="E63" s="10"/>
      <c r="F63" s="10"/>
      <c r="G63" s="10"/>
    </row>
    <row r="64" spans="1:7" x14ac:dyDescent="0.4">
      <c r="A64" s="12" t="s">
        <v>101</v>
      </c>
      <c r="B64" s="12" t="s">
        <v>20</v>
      </c>
      <c r="C64" s="12" t="s">
        <v>12</v>
      </c>
      <c r="D64" s="22" t="s">
        <v>102</v>
      </c>
      <c r="E64" s="13">
        <v>2</v>
      </c>
      <c r="F64" s="13">
        <v>16</v>
      </c>
      <c r="G64" s="14">
        <f>ROUND(E64*F64,2)</f>
        <v>32</v>
      </c>
    </row>
    <row r="65" spans="1:7" ht="53.6" x14ac:dyDescent="0.4">
      <c r="A65" s="10"/>
      <c r="B65" s="10"/>
      <c r="C65" s="10"/>
      <c r="D65" s="15" t="s">
        <v>103</v>
      </c>
      <c r="E65" s="10"/>
      <c r="F65" s="10"/>
      <c r="G65" s="10"/>
    </row>
    <row r="66" spans="1:7" x14ac:dyDescent="0.4">
      <c r="A66" s="12" t="s">
        <v>104</v>
      </c>
      <c r="B66" s="12" t="s">
        <v>20</v>
      </c>
      <c r="C66" s="12" t="s">
        <v>12</v>
      </c>
      <c r="D66" s="22" t="s">
        <v>105</v>
      </c>
      <c r="E66" s="13">
        <v>2</v>
      </c>
      <c r="F66" s="13">
        <v>16</v>
      </c>
      <c r="G66" s="14">
        <f>ROUND(E66*F66,2)</f>
        <v>32</v>
      </c>
    </row>
    <row r="67" spans="1:7" ht="42.9" x14ac:dyDescent="0.4">
      <c r="A67" s="10"/>
      <c r="B67" s="10"/>
      <c r="C67" s="10"/>
      <c r="D67" s="15" t="s">
        <v>106</v>
      </c>
      <c r="E67" s="10"/>
      <c r="F67" s="10"/>
      <c r="G67" s="10"/>
    </row>
    <row r="68" spans="1:7" x14ac:dyDescent="0.4">
      <c r="A68" s="12" t="s">
        <v>107</v>
      </c>
      <c r="B68" s="12" t="s">
        <v>20</v>
      </c>
      <c r="C68" s="12" t="s">
        <v>12</v>
      </c>
      <c r="D68" s="22" t="s">
        <v>108</v>
      </c>
      <c r="E68" s="13">
        <v>-2</v>
      </c>
      <c r="F68" s="13">
        <v>28</v>
      </c>
      <c r="G68" s="14">
        <f>ROUND(E68*F68,2)</f>
        <v>-56</v>
      </c>
    </row>
    <row r="69" spans="1:7" ht="32.15" x14ac:dyDescent="0.4">
      <c r="A69" s="10"/>
      <c r="B69" s="10"/>
      <c r="C69" s="10"/>
      <c r="D69" s="15" t="s">
        <v>109</v>
      </c>
      <c r="E69" s="10"/>
      <c r="F69" s="10"/>
      <c r="G69" s="10"/>
    </row>
    <row r="70" spans="1:7" x14ac:dyDescent="0.4">
      <c r="A70" s="12" t="s">
        <v>110</v>
      </c>
      <c r="B70" s="12" t="s">
        <v>20</v>
      </c>
      <c r="C70" s="12" t="s">
        <v>12</v>
      </c>
      <c r="D70" s="22" t="s">
        <v>111</v>
      </c>
      <c r="E70" s="13">
        <v>9</v>
      </c>
      <c r="F70" s="13">
        <v>128.25</v>
      </c>
      <c r="G70" s="14">
        <f>ROUND(E70*F70,2)</f>
        <v>1154.25</v>
      </c>
    </row>
    <row r="71" spans="1:7" ht="75" x14ac:dyDescent="0.4">
      <c r="A71" s="10"/>
      <c r="B71" s="10"/>
      <c r="C71" s="10"/>
      <c r="D71" s="15" t="s">
        <v>112</v>
      </c>
      <c r="E71" s="10"/>
      <c r="F71" s="10"/>
      <c r="G71" s="10"/>
    </row>
    <row r="72" spans="1:7" x14ac:dyDescent="0.4">
      <c r="A72" s="12" t="s">
        <v>113</v>
      </c>
      <c r="B72" s="12" t="s">
        <v>20</v>
      </c>
      <c r="C72" s="12" t="s">
        <v>12</v>
      </c>
      <c r="D72" s="22" t="s">
        <v>114</v>
      </c>
      <c r="E72" s="13">
        <v>-2</v>
      </c>
      <c r="F72" s="13">
        <v>152</v>
      </c>
      <c r="G72" s="14">
        <f>ROUND(E72*F72,2)</f>
        <v>-304</v>
      </c>
    </row>
    <row r="73" spans="1:7" ht="64.3" x14ac:dyDescent="0.4">
      <c r="A73" s="10"/>
      <c r="B73" s="10"/>
      <c r="C73" s="10"/>
      <c r="D73" s="15" t="s">
        <v>115</v>
      </c>
      <c r="E73" s="10"/>
      <c r="F73" s="10"/>
      <c r="G73" s="10"/>
    </row>
    <row r="74" spans="1:7" x14ac:dyDescent="0.4">
      <c r="A74" s="12" t="s">
        <v>116</v>
      </c>
      <c r="B74" s="12" t="s">
        <v>20</v>
      </c>
      <c r="C74" s="12" t="s">
        <v>12</v>
      </c>
      <c r="D74" s="22" t="s">
        <v>117</v>
      </c>
      <c r="E74" s="13">
        <v>4</v>
      </c>
      <c r="F74" s="13">
        <v>64.400000000000006</v>
      </c>
      <c r="G74" s="14">
        <f>ROUND(E74*F74,2)</f>
        <v>257.60000000000002</v>
      </c>
    </row>
    <row r="75" spans="1:7" ht="42.9" x14ac:dyDescent="0.4">
      <c r="A75" s="10"/>
      <c r="B75" s="10"/>
      <c r="C75" s="10"/>
      <c r="D75" s="15" t="s">
        <v>118</v>
      </c>
      <c r="E75" s="10"/>
      <c r="F75" s="10"/>
      <c r="G75" s="10"/>
    </row>
    <row r="76" spans="1:7" x14ac:dyDescent="0.4">
      <c r="A76" s="12" t="s">
        <v>119</v>
      </c>
      <c r="B76" s="12" t="s">
        <v>20</v>
      </c>
      <c r="C76" s="12" t="s">
        <v>12</v>
      </c>
      <c r="D76" s="22" t="s">
        <v>120</v>
      </c>
      <c r="E76" s="13">
        <v>-6</v>
      </c>
      <c r="F76" s="13">
        <v>50</v>
      </c>
      <c r="G76" s="14">
        <f>ROUND(E76*F76,2)</f>
        <v>-300</v>
      </c>
    </row>
    <row r="77" spans="1:7" ht="64.3" x14ac:dyDescent="0.4">
      <c r="A77" s="10"/>
      <c r="B77" s="10"/>
      <c r="C77" s="10"/>
      <c r="D77" s="15" t="s">
        <v>121</v>
      </c>
      <c r="E77" s="10"/>
      <c r="F77" s="10"/>
      <c r="G77" s="10"/>
    </row>
    <row r="78" spans="1:7" x14ac:dyDescent="0.4">
      <c r="A78" s="12" t="s">
        <v>122</v>
      </c>
      <c r="B78" s="12" t="s">
        <v>20</v>
      </c>
      <c r="C78" s="12" t="s">
        <v>12</v>
      </c>
      <c r="D78" s="22" t="s">
        <v>123</v>
      </c>
      <c r="E78" s="13">
        <v>4</v>
      </c>
      <c r="F78" s="13">
        <v>90</v>
      </c>
      <c r="G78" s="14">
        <f>ROUND(E78*F78,2)</f>
        <v>360</v>
      </c>
    </row>
    <row r="79" spans="1:7" ht="32.15" x14ac:dyDescent="0.4">
      <c r="A79" s="10"/>
      <c r="B79" s="10"/>
      <c r="C79" s="10"/>
      <c r="D79" s="15" t="s">
        <v>124</v>
      </c>
      <c r="E79" s="10"/>
      <c r="F79" s="10"/>
      <c r="G79" s="10"/>
    </row>
    <row r="80" spans="1:7" x14ac:dyDescent="0.4">
      <c r="A80" s="12" t="s">
        <v>125</v>
      </c>
      <c r="B80" s="12" t="s">
        <v>20</v>
      </c>
      <c r="C80" s="12" t="s">
        <v>12</v>
      </c>
      <c r="D80" s="22" t="s">
        <v>126</v>
      </c>
      <c r="E80" s="13">
        <v>3</v>
      </c>
      <c r="F80" s="13">
        <v>169.13</v>
      </c>
      <c r="G80" s="14">
        <f>ROUND(E80*F80,2)</f>
        <v>507.39</v>
      </c>
    </row>
    <row r="81" spans="1:7" ht="53.6" x14ac:dyDescent="0.4">
      <c r="A81" s="10"/>
      <c r="B81" s="10"/>
      <c r="C81" s="10"/>
      <c r="D81" s="15" t="s">
        <v>127</v>
      </c>
      <c r="E81" s="10"/>
      <c r="F81" s="10"/>
      <c r="G81" s="10"/>
    </row>
    <row r="82" spans="1:7" x14ac:dyDescent="0.4">
      <c r="A82" s="12" t="s">
        <v>128</v>
      </c>
      <c r="B82" s="12" t="s">
        <v>20</v>
      </c>
      <c r="C82" s="12" t="s">
        <v>12</v>
      </c>
      <c r="D82" s="22" t="s">
        <v>129</v>
      </c>
      <c r="E82" s="13">
        <v>1</v>
      </c>
      <c r="F82" s="13">
        <v>270.57</v>
      </c>
      <c r="G82" s="14">
        <f>ROUND(E82*F82,2)</f>
        <v>270.57</v>
      </c>
    </row>
    <row r="83" spans="1:7" ht="75" x14ac:dyDescent="0.4">
      <c r="A83" s="10"/>
      <c r="B83" s="10"/>
      <c r="C83" s="10"/>
      <c r="D83" s="15" t="s">
        <v>130</v>
      </c>
      <c r="E83" s="10"/>
      <c r="F83" s="10"/>
      <c r="G83" s="10"/>
    </row>
    <row r="84" spans="1:7" x14ac:dyDescent="0.4">
      <c r="A84" s="12" t="s">
        <v>131</v>
      </c>
      <c r="B84" s="12" t="s">
        <v>20</v>
      </c>
      <c r="C84" s="12" t="s">
        <v>12</v>
      </c>
      <c r="D84" s="22" t="s">
        <v>132</v>
      </c>
      <c r="E84" s="13">
        <v>-3</v>
      </c>
      <c r="F84" s="13">
        <v>0</v>
      </c>
      <c r="G84" s="14">
        <f>ROUND(E84*F84,2)</f>
        <v>0</v>
      </c>
    </row>
    <row r="85" spans="1:7" ht="75" x14ac:dyDescent="0.4">
      <c r="A85" s="10"/>
      <c r="B85" s="10"/>
      <c r="C85" s="10"/>
      <c r="D85" s="15" t="s">
        <v>133</v>
      </c>
      <c r="E85" s="10"/>
      <c r="F85" s="10"/>
      <c r="G85" s="10"/>
    </row>
    <row r="86" spans="1:7" x14ac:dyDescent="0.4">
      <c r="A86" s="12" t="s">
        <v>134</v>
      </c>
      <c r="B86" s="12" t="s">
        <v>20</v>
      </c>
      <c r="C86" s="12" t="s">
        <v>12</v>
      </c>
      <c r="D86" s="22" t="s">
        <v>135</v>
      </c>
      <c r="E86" s="13">
        <v>1</v>
      </c>
      <c r="F86" s="13">
        <v>655.5</v>
      </c>
      <c r="G86" s="14">
        <f>ROUND(E86*F86,2)</f>
        <v>655.5</v>
      </c>
    </row>
    <row r="87" spans="1:7" ht="53.6" x14ac:dyDescent="0.4">
      <c r="A87" s="10"/>
      <c r="B87" s="10"/>
      <c r="C87" s="10"/>
      <c r="D87" s="15" t="s">
        <v>136</v>
      </c>
      <c r="E87" s="10"/>
      <c r="F87" s="10"/>
      <c r="G87" s="10"/>
    </row>
    <row r="88" spans="1:7" x14ac:dyDescent="0.4">
      <c r="A88" s="12" t="s">
        <v>137</v>
      </c>
      <c r="B88" s="12" t="s">
        <v>20</v>
      </c>
      <c r="C88" s="12" t="s">
        <v>12</v>
      </c>
      <c r="D88" s="22" t="s">
        <v>138</v>
      </c>
      <c r="E88" s="13">
        <v>3</v>
      </c>
      <c r="F88" s="13">
        <v>0</v>
      </c>
      <c r="G88" s="14">
        <f>ROUND(E88*F88,2)</f>
        <v>0</v>
      </c>
    </row>
    <row r="89" spans="1:7" ht="75" x14ac:dyDescent="0.4">
      <c r="A89" s="10"/>
      <c r="B89" s="10"/>
      <c r="C89" s="10"/>
      <c r="D89" s="15" t="s">
        <v>139</v>
      </c>
      <c r="E89" s="10"/>
      <c r="F89" s="10"/>
      <c r="G89" s="10"/>
    </row>
    <row r="90" spans="1:7" x14ac:dyDescent="0.4">
      <c r="A90" s="12" t="s">
        <v>140</v>
      </c>
      <c r="B90" s="12" t="s">
        <v>20</v>
      </c>
      <c r="C90" s="12" t="s">
        <v>12</v>
      </c>
      <c r="D90" s="22" t="s">
        <v>141</v>
      </c>
      <c r="E90" s="13">
        <v>4</v>
      </c>
      <c r="F90" s="13">
        <v>0</v>
      </c>
      <c r="G90" s="14">
        <f>ROUND(E90*F90,2)</f>
        <v>0</v>
      </c>
    </row>
    <row r="91" spans="1:7" ht="64.3" x14ac:dyDescent="0.4">
      <c r="A91" s="10"/>
      <c r="B91" s="10"/>
      <c r="C91" s="10"/>
      <c r="D91" s="15" t="s">
        <v>142</v>
      </c>
      <c r="E91" s="10"/>
      <c r="F91" s="10"/>
      <c r="G91" s="10"/>
    </row>
    <row r="92" spans="1:7" x14ac:dyDescent="0.4">
      <c r="A92" s="12" t="s">
        <v>143</v>
      </c>
      <c r="B92" s="12" t="s">
        <v>20</v>
      </c>
      <c r="C92" s="12" t="s">
        <v>12</v>
      </c>
      <c r="D92" s="22" t="s">
        <v>144</v>
      </c>
      <c r="E92" s="13">
        <v>2</v>
      </c>
      <c r="F92" s="13">
        <v>0</v>
      </c>
      <c r="G92" s="14">
        <f>ROUND(E92*F92,2)</f>
        <v>0</v>
      </c>
    </row>
    <row r="93" spans="1:7" ht="64.3" x14ac:dyDescent="0.4">
      <c r="A93" s="10"/>
      <c r="B93" s="10"/>
      <c r="C93" s="10"/>
      <c r="D93" s="15" t="s">
        <v>145</v>
      </c>
      <c r="E93" s="10"/>
      <c r="F93" s="10"/>
      <c r="G93" s="10"/>
    </row>
    <row r="94" spans="1:7" x14ac:dyDescent="0.4">
      <c r="A94" s="12" t="s">
        <v>146</v>
      </c>
      <c r="B94" s="12" t="s">
        <v>20</v>
      </c>
      <c r="C94" s="12" t="s">
        <v>12</v>
      </c>
      <c r="D94" s="22" t="s">
        <v>147</v>
      </c>
      <c r="E94" s="13">
        <v>1</v>
      </c>
      <c r="F94" s="13">
        <v>0</v>
      </c>
      <c r="G94" s="14">
        <f>ROUND(E94*F94,2)</f>
        <v>0</v>
      </c>
    </row>
    <row r="95" spans="1:7" ht="42.9" x14ac:dyDescent="0.4">
      <c r="A95" s="10"/>
      <c r="B95" s="10"/>
      <c r="C95" s="10"/>
      <c r="D95" s="15" t="s">
        <v>148</v>
      </c>
      <c r="E95" s="10"/>
      <c r="F95" s="10"/>
      <c r="G95" s="10"/>
    </row>
    <row r="96" spans="1:7" x14ac:dyDescent="0.4">
      <c r="A96" s="10"/>
      <c r="B96" s="10"/>
      <c r="C96" s="10"/>
      <c r="D96" s="23" t="s">
        <v>149</v>
      </c>
      <c r="E96" s="13">
        <v>1</v>
      </c>
      <c r="F96" s="9">
        <f>G30+G32+G34+G36+G38+G40+G42+G44+G46+G48+G50+G52+G54+G56+G58+G60+G62+G64+G66+G68+G70+G72+G74+G76+G78+G80+G82+G84+G86+G88+G90+G92+G94</f>
        <v>34684.000000000007</v>
      </c>
      <c r="G96" s="9">
        <f>ROUND(F96*E96,2)</f>
        <v>34684</v>
      </c>
    </row>
    <row r="97" spans="1:7" x14ac:dyDescent="0.4">
      <c r="A97" s="16"/>
      <c r="B97" s="16"/>
      <c r="C97" s="16"/>
      <c r="D97" s="24"/>
      <c r="E97" s="16"/>
      <c r="F97" s="16"/>
      <c r="G97" s="16"/>
    </row>
    <row r="98" spans="1:7" x14ac:dyDescent="0.4">
      <c r="A98" s="11" t="s">
        <v>150</v>
      </c>
      <c r="B98" s="11" t="s">
        <v>11</v>
      </c>
      <c r="C98" s="11" t="s">
        <v>15</v>
      </c>
      <c r="D98" s="21" t="s">
        <v>151</v>
      </c>
      <c r="E98" s="9">
        <f>E107</f>
        <v>1</v>
      </c>
      <c r="F98" s="9">
        <f>F107</f>
        <v>1520</v>
      </c>
      <c r="G98" s="9">
        <f>G107</f>
        <v>1520</v>
      </c>
    </row>
    <row r="99" spans="1:7" x14ac:dyDescent="0.4">
      <c r="A99" s="12" t="s">
        <v>152</v>
      </c>
      <c r="B99" s="12" t="s">
        <v>20</v>
      </c>
      <c r="C99" s="12" t="s">
        <v>12</v>
      </c>
      <c r="D99" s="22" t="s">
        <v>153</v>
      </c>
      <c r="E99" s="13">
        <v>9</v>
      </c>
      <c r="F99" s="13">
        <v>0</v>
      </c>
      <c r="G99" s="14">
        <f>ROUND(E99*F99,2)</f>
        <v>0</v>
      </c>
    </row>
    <row r="100" spans="1:7" ht="32.15" x14ac:dyDescent="0.4">
      <c r="A100" s="10"/>
      <c r="B100" s="10"/>
      <c r="C100" s="10"/>
      <c r="D100" s="15" t="s">
        <v>154</v>
      </c>
      <c r="E100" s="10"/>
      <c r="F100" s="10"/>
      <c r="G100" s="10"/>
    </row>
    <row r="101" spans="1:7" x14ac:dyDescent="0.4">
      <c r="A101" s="12" t="s">
        <v>155</v>
      </c>
      <c r="B101" s="12" t="s">
        <v>20</v>
      </c>
      <c r="C101" s="12" t="s">
        <v>52</v>
      </c>
      <c r="D101" s="22" t="s">
        <v>156</v>
      </c>
      <c r="E101" s="13">
        <v>40</v>
      </c>
      <c r="F101" s="13">
        <v>38</v>
      </c>
      <c r="G101" s="14">
        <f>ROUND(E101*F101,2)</f>
        <v>1520</v>
      </c>
    </row>
    <row r="102" spans="1:7" ht="53.6" x14ac:dyDescent="0.4">
      <c r="A102" s="10"/>
      <c r="B102" s="10"/>
      <c r="C102" s="10"/>
      <c r="D102" s="15" t="s">
        <v>157</v>
      </c>
      <c r="E102" s="10"/>
      <c r="F102" s="10"/>
      <c r="G102" s="10"/>
    </row>
    <row r="103" spans="1:7" x14ac:dyDescent="0.4">
      <c r="A103" s="12" t="s">
        <v>158</v>
      </c>
      <c r="B103" s="12" t="s">
        <v>20</v>
      </c>
      <c r="C103" s="12" t="s">
        <v>160</v>
      </c>
      <c r="D103" s="22" t="s">
        <v>159</v>
      </c>
      <c r="E103" s="13">
        <v>9</v>
      </c>
      <c r="F103" s="13">
        <v>0</v>
      </c>
      <c r="G103" s="14">
        <f>ROUND(E103*F103,2)</f>
        <v>0</v>
      </c>
    </row>
    <row r="104" spans="1:7" ht="53.6" x14ac:dyDescent="0.4">
      <c r="A104" s="10"/>
      <c r="B104" s="10"/>
      <c r="C104" s="10"/>
      <c r="D104" s="15" t="s">
        <v>161</v>
      </c>
      <c r="E104" s="10"/>
      <c r="F104" s="10"/>
      <c r="G104" s="10"/>
    </row>
    <row r="105" spans="1:7" x14ac:dyDescent="0.4">
      <c r="A105" s="12" t="s">
        <v>162</v>
      </c>
      <c r="B105" s="12" t="s">
        <v>20</v>
      </c>
      <c r="C105" s="12" t="s">
        <v>160</v>
      </c>
      <c r="D105" s="22" t="s">
        <v>163</v>
      </c>
      <c r="E105" s="13">
        <v>9</v>
      </c>
      <c r="F105" s="13">
        <v>0</v>
      </c>
      <c r="G105" s="14">
        <f>ROUND(E105*F105,2)</f>
        <v>0</v>
      </c>
    </row>
    <row r="106" spans="1:7" ht="32.15" x14ac:dyDescent="0.4">
      <c r="A106" s="10"/>
      <c r="B106" s="10"/>
      <c r="C106" s="10"/>
      <c r="D106" s="15" t="s">
        <v>164</v>
      </c>
      <c r="E106" s="10"/>
      <c r="F106" s="10"/>
      <c r="G106" s="10"/>
    </row>
    <row r="107" spans="1:7" x14ac:dyDescent="0.4">
      <c r="A107" s="10"/>
      <c r="B107" s="10"/>
      <c r="C107" s="10"/>
      <c r="D107" s="23" t="s">
        <v>165</v>
      </c>
      <c r="E107" s="13">
        <v>1</v>
      </c>
      <c r="F107" s="9">
        <f>G99+G101+G103+G105</f>
        <v>1520</v>
      </c>
      <c r="G107" s="9">
        <f>ROUND(F107*E107,2)</f>
        <v>1520</v>
      </c>
    </row>
    <row r="108" spans="1:7" x14ac:dyDescent="0.4">
      <c r="A108" s="16"/>
      <c r="B108" s="16"/>
      <c r="C108" s="16"/>
      <c r="D108" s="24"/>
      <c r="E108" s="16"/>
      <c r="F108" s="16"/>
      <c r="G108" s="16"/>
    </row>
    <row r="109" spans="1:7" x14ac:dyDescent="0.4">
      <c r="A109" s="11" t="s">
        <v>166</v>
      </c>
      <c r="B109" s="11" t="s">
        <v>11</v>
      </c>
      <c r="C109" s="11" t="s">
        <v>15</v>
      </c>
      <c r="D109" s="21" t="s">
        <v>167</v>
      </c>
      <c r="E109" s="9">
        <f>E150</f>
        <v>1</v>
      </c>
      <c r="F109" s="9">
        <f>F150</f>
        <v>21293.14</v>
      </c>
      <c r="G109" s="9">
        <f>G150</f>
        <v>21293.14</v>
      </c>
    </row>
    <row r="110" spans="1:7" x14ac:dyDescent="0.4">
      <c r="A110" s="12" t="s">
        <v>168</v>
      </c>
      <c r="B110" s="12" t="s">
        <v>20</v>
      </c>
      <c r="C110" s="12" t="s">
        <v>170</v>
      </c>
      <c r="D110" s="22" t="s">
        <v>169</v>
      </c>
      <c r="E110" s="13">
        <v>637.37</v>
      </c>
      <c r="F110" s="13">
        <v>23.75</v>
      </c>
      <c r="G110" s="14">
        <f>ROUND(E110*F110,2)</f>
        <v>15137.54</v>
      </c>
    </row>
    <row r="111" spans="1:7" ht="128.6" x14ac:dyDescent="0.4">
      <c r="A111" s="10"/>
      <c r="B111" s="10"/>
      <c r="C111" s="10"/>
      <c r="D111" s="15" t="s">
        <v>171</v>
      </c>
      <c r="E111" s="10"/>
      <c r="F111" s="10"/>
      <c r="G111" s="10"/>
    </row>
    <row r="112" spans="1:7" x14ac:dyDescent="0.4">
      <c r="A112" s="12" t="s">
        <v>172</v>
      </c>
      <c r="B112" s="12" t="s">
        <v>20</v>
      </c>
      <c r="C112" s="12" t="s">
        <v>52</v>
      </c>
      <c r="D112" s="22" t="s">
        <v>173</v>
      </c>
      <c r="E112" s="13">
        <v>-36</v>
      </c>
      <c r="F112" s="13">
        <v>0</v>
      </c>
      <c r="G112" s="14">
        <f>ROUND(E112*F112,2)</f>
        <v>0</v>
      </c>
    </row>
    <row r="113" spans="1:7" ht="53.6" x14ac:dyDescent="0.4">
      <c r="A113" s="10"/>
      <c r="B113" s="10"/>
      <c r="C113" s="10"/>
      <c r="D113" s="15" t="s">
        <v>174</v>
      </c>
      <c r="E113" s="10"/>
      <c r="F113" s="10"/>
      <c r="G113" s="10"/>
    </row>
    <row r="114" spans="1:7" x14ac:dyDescent="0.4">
      <c r="A114" s="12" t="s">
        <v>175</v>
      </c>
      <c r="B114" s="12" t="s">
        <v>20</v>
      </c>
      <c r="C114" s="12" t="s">
        <v>177</v>
      </c>
      <c r="D114" s="22" t="s">
        <v>176</v>
      </c>
      <c r="E114" s="13">
        <v>18</v>
      </c>
      <c r="F114" s="13">
        <v>41.2</v>
      </c>
      <c r="G114" s="14">
        <f>ROUND(E114*F114,2)</f>
        <v>741.6</v>
      </c>
    </row>
    <row r="115" spans="1:7" ht="64.3" x14ac:dyDescent="0.4">
      <c r="A115" s="10"/>
      <c r="B115" s="10"/>
      <c r="C115" s="10"/>
      <c r="D115" s="15" t="s">
        <v>178</v>
      </c>
      <c r="E115" s="10"/>
      <c r="F115" s="10"/>
      <c r="G115" s="10"/>
    </row>
    <row r="116" spans="1:7" x14ac:dyDescent="0.4">
      <c r="A116" s="12" t="s">
        <v>179</v>
      </c>
      <c r="B116" s="12" t="s">
        <v>20</v>
      </c>
      <c r="C116" s="12" t="s">
        <v>160</v>
      </c>
      <c r="D116" s="22" t="s">
        <v>180</v>
      </c>
      <c r="E116" s="13">
        <v>0</v>
      </c>
      <c r="F116" s="13">
        <v>41.26</v>
      </c>
      <c r="G116" s="14">
        <f>ROUND(E116*F116,2)</f>
        <v>0</v>
      </c>
    </row>
    <row r="117" spans="1:7" x14ac:dyDescent="0.4">
      <c r="A117" s="10"/>
      <c r="B117" s="10"/>
      <c r="C117" s="10"/>
      <c r="D117" s="15" t="s">
        <v>181</v>
      </c>
      <c r="E117" s="10"/>
      <c r="F117" s="10"/>
      <c r="G117" s="10"/>
    </row>
    <row r="118" spans="1:7" x14ac:dyDescent="0.4">
      <c r="A118" s="12" t="s">
        <v>182</v>
      </c>
      <c r="B118" s="12" t="s">
        <v>20</v>
      </c>
      <c r="C118" s="12" t="s">
        <v>160</v>
      </c>
      <c r="D118" s="22" t="s">
        <v>183</v>
      </c>
      <c r="E118" s="13">
        <v>23</v>
      </c>
      <c r="F118" s="13">
        <v>15.55</v>
      </c>
      <c r="G118" s="14">
        <f>ROUND(E118*F118,2)</f>
        <v>357.65</v>
      </c>
    </row>
    <row r="119" spans="1:7" x14ac:dyDescent="0.4">
      <c r="A119" s="10"/>
      <c r="B119" s="10"/>
      <c r="C119" s="10"/>
      <c r="D119" s="15" t="s">
        <v>184</v>
      </c>
      <c r="E119" s="10"/>
      <c r="F119" s="10"/>
      <c r="G119" s="10"/>
    </row>
    <row r="120" spans="1:7" x14ac:dyDescent="0.4">
      <c r="A120" s="12" t="s">
        <v>185</v>
      </c>
      <c r="B120" s="12" t="s">
        <v>20</v>
      </c>
      <c r="C120" s="12" t="s">
        <v>160</v>
      </c>
      <c r="D120" s="22" t="s">
        <v>186</v>
      </c>
      <c r="E120" s="13">
        <v>-16</v>
      </c>
      <c r="F120" s="13">
        <v>0</v>
      </c>
      <c r="G120" s="14">
        <f>ROUND(E120*F120,2)</f>
        <v>0</v>
      </c>
    </row>
    <row r="121" spans="1:7" ht="64.3" x14ac:dyDescent="0.4">
      <c r="A121" s="10"/>
      <c r="B121" s="10"/>
      <c r="C121" s="10"/>
      <c r="D121" s="15" t="s">
        <v>187</v>
      </c>
      <c r="E121" s="10"/>
      <c r="F121" s="10"/>
      <c r="G121" s="10"/>
    </row>
    <row r="122" spans="1:7" x14ac:dyDescent="0.4">
      <c r="A122" s="12" t="s">
        <v>188</v>
      </c>
      <c r="B122" s="12" t="s">
        <v>20</v>
      </c>
      <c r="C122" s="12" t="s">
        <v>52</v>
      </c>
      <c r="D122" s="22" t="s">
        <v>189</v>
      </c>
      <c r="E122" s="13">
        <v>30</v>
      </c>
      <c r="F122" s="13">
        <v>106.82</v>
      </c>
      <c r="G122" s="14">
        <f>ROUND(E122*F122,2)</f>
        <v>3204.6</v>
      </c>
    </row>
    <row r="123" spans="1:7" ht="32.15" x14ac:dyDescent="0.4">
      <c r="A123" s="10"/>
      <c r="B123" s="10"/>
      <c r="C123" s="10"/>
      <c r="D123" s="15" t="s">
        <v>190</v>
      </c>
      <c r="E123" s="10"/>
      <c r="F123" s="10"/>
      <c r="G123" s="10"/>
    </row>
    <row r="124" spans="1:7" x14ac:dyDescent="0.4">
      <c r="A124" s="12" t="s">
        <v>191</v>
      </c>
      <c r="B124" s="12" t="s">
        <v>20</v>
      </c>
      <c r="C124" s="12" t="s">
        <v>12</v>
      </c>
      <c r="D124" s="22" t="s">
        <v>192</v>
      </c>
      <c r="E124" s="13">
        <v>-4</v>
      </c>
      <c r="F124" s="13">
        <v>0</v>
      </c>
      <c r="G124" s="14">
        <f>ROUND(E124*F124,2)</f>
        <v>0</v>
      </c>
    </row>
    <row r="125" spans="1:7" ht="42.9" x14ac:dyDescent="0.4">
      <c r="A125" s="10"/>
      <c r="B125" s="10"/>
      <c r="C125" s="10"/>
      <c r="D125" s="15" t="s">
        <v>193</v>
      </c>
      <c r="E125" s="10"/>
      <c r="F125" s="10"/>
      <c r="G125" s="10"/>
    </row>
    <row r="126" spans="1:7" x14ac:dyDescent="0.4">
      <c r="A126" s="12" t="s">
        <v>194</v>
      </c>
      <c r="B126" s="12" t="s">
        <v>20</v>
      </c>
      <c r="C126" s="12" t="s">
        <v>12</v>
      </c>
      <c r="D126" s="22" t="s">
        <v>195</v>
      </c>
      <c r="E126" s="13">
        <v>6</v>
      </c>
      <c r="F126" s="13">
        <v>113</v>
      </c>
      <c r="G126" s="14">
        <f>ROUND(E126*F126,2)</f>
        <v>678</v>
      </c>
    </row>
    <row r="127" spans="1:7" ht="53.6" x14ac:dyDescent="0.4">
      <c r="A127" s="10"/>
      <c r="B127" s="10"/>
      <c r="C127" s="10"/>
      <c r="D127" s="15" t="s">
        <v>196</v>
      </c>
      <c r="E127" s="10"/>
      <c r="F127" s="10"/>
      <c r="G127" s="10"/>
    </row>
    <row r="128" spans="1:7" x14ac:dyDescent="0.4">
      <c r="A128" s="12" t="s">
        <v>197</v>
      </c>
      <c r="B128" s="12" t="s">
        <v>20</v>
      </c>
      <c r="C128" s="12" t="s">
        <v>12</v>
      </c>
      <c r="D128" s="22" t="s">
        <v>198</v>
      </c>
      <c r="E128" s="13">
        <v>5</v>
      </c>
      <c r="F128" s="13">
        <v>56.4</v>
      </c>
      <c r="G128" s="14">
        <f>ROUND(E128*F128,2)</f>
        <v>282</v>
      </c>
    </row>
    <row r="129" spans="1:7" ht="53.6" x14ac:dyDescent="0.4">
      <c r="A129" s="10"/>
      <c r="B129" s="10"/>
      <c r="C129" s="10"/>
      <c r="D129" s="15" t="s">
        <v>199</v>
      </c>
      <c r="E129" s="10"/>
      <c r="F129" s="10"/>
      <c r="G129" s="10"/>
    </row>
    <row r="130" spans="1:7" x14ac:dyDescent="0.4">
      <c r="A130" s="12" t="s">
        <v>200</v>
      </c>
      <c r="B130" s="12" t="s">
        <v>20</v>
      </c>
      <c r="C130" s="12" t="s">
        <v>12</v>
      </c>
      <c r="D130" s="22" t="s">
        <v>201</v>
      </c>
      <c r="E130" s="13">
        <v>5</v>
      </c>
      <c r="F130" s="13">
        <v>52.15</v>
      </c>
      <c r="G130" s="14">
        <f>ROUND(E130*F130,2)</f>
        <v>260.75</v>
      </c>
    </row>
    <row r="131" spans="1:7" ht="53.6" x14ac:dyDescent="0.4">
      <c r="A131" s="10"/>
      <c r="B131" s="10"/>
      <c r="C131" s="10"/>
      <c r="D131" s="15" t="s">
        <v>202</v>
      </c>
      <c r="E131" s="10"/>
      <c r="F131" s="10"/>
      <c r="G131" s="10"/>
    </row>
    <row r="132" spans="1:7" x14ac:dyDescent="0.4">
      <c r="A132" s="12" t="s">
        <v>203</v>
      </c>
      <c r="B132" s="12" t="s">
        <v>20</v>
      </c>
      <c r="C132" s="12" t="s">
        <v>12</v>
      </c>
      <c r="D132" s="22" t="s">
        <v>204</v>
      </c>
      <c r="E132" s="13">
        <v>10</v>
      </c>
      <c r="F132" s="13">
        <v>84</v>
      </c>
      <c r="G132" s="14">
        <f>ROUND(E132*F132,2)</f>
        <v>840</v>
      </c>
    </row>
    <row r="133" spans="1:7" ht="53.6" x14ac:dyDescent="0.4">
      <c r="A133" s="10"/>
      <c r="B133" s="10"/>
      <c r="C133" s="10"/>
      <c r="D133" s="15" t="s">
        <v>205</v>
      </c>
      <c r="E133" s="10"/>
      <c r="F133" s="10"/>
      <c r="G133" s="10"/>
    </row>
    <row r="134" spans="1:7" x14ac:dyDescent="0.4">
      <c r="A134" s="12" t="s">
        <v>206</v>
      </c>
      <c r="B134" s="12" t="s">
        <v>20</v>
      </c>
      <c r="C134" s="12" t="s">
        <v>12</v>
      </c>
      <c r="D134" s="22" t="s">
        <v>207</v>
      </c>
      <c r="E134" s="13">
        <v>6</v>
      </c>
      <c r="F134" s="13">
        <v>74</v>
      </c>
      <c r="G134" s="14">
        <f>ROUND(E134*F134,2)</f>
        <v>444</v>
      </c>
    </row>
    <row r="135" spans="1:7" ht="64.3" x14ac:dyDescent="0.4">
      <c r="A135" s="10"/>
      <c r="B135" s="10"/>
      <c r="C135" s="10"/>
      <c r="D135" s="15" t="s">
        <v>208</v>
      </c>
      <c r="E135" s="10"/>
      <c r="F135" s="10"/>
      <c r="G135" s="10"/>
    </row>
    <row r="136" spans="1:7" x14ac:dyDescent="0.4">
      <c r="A136" s="12" t="s">
        <v>209</v>
      </c>
      <c r="B136" s="12" t="s">
        <v>20</v>
      </c>
      <c r="C136" s="12" t="s">
        <v>12</v>
      </c>
      <c r="D136" s="22" t="s">
        <v>210</v>
      </c>
      <c r="E136" s="13">
        <v>1</v>
      </c>
      <c r="F136" s="13">
        <v>68</v>
      </c>
      <c r="G136" s="14">
        <f>ROUND(E136*F136,2)</f>
        <v>68</v>
      </c>
    </row>
    <row r="137" spans="1:7" ht="53.6" x14ac:dyDescent="0.4">
      <c r="A137" s="10"/>
      <c r="B137" s="10"/>
      <c r="C137" s="10"/>
      <c r="D137" s="15" t="s">
        <v>211</v>
      </c>
      <c r="E137" s="10"/>
      <c r="F137" s="10"/>
      <c r="G137" s="10"/>
    </row>
    <row r="138" spans="1:7" x14ac:dyDescent="0.4">
      <c r="A138" s="12" t="s">
        <v>212</v>
      </c>
      <c r="B138" s="12" t="s">
        <v>20</v>
      </c>
      <c r="C138" s="12" t="s">
        <v>12</v>
      </c>
      <c r="D138" s="22" t="s">
        <v>213</v>
      </c>
      <c r="E138" s="13">
        <v>2</v>
      </c>
      <c r="F138" s="13">
        <v>62</v>
      </c>
      <c r="G138" s="14">
        <f>ROUND(E138*F138,2)</f>
        <v>124</v>
      </c>
    </row>
    <row r="139" spans="1:7" ht="64.3" x14ac:dyDescent="0.4">
      <c r="A139" s="10"/>
      <c r="B139" s="10"/>
      <c r="C139" s="10"/>
      <c r="D139" s="15" t="s">
        <v>214</v>
      </c>
      <c r="E139" s="10"/>
      <c r="F139" s="10"/>
      <c r="G139" s="10"/>
    </row>
    <row r="140" spans="1:7" x14ac:dyDescent="0.4">
      <c r="A140" s="12" t="s">
        <v>215</v>
      </c>
      <c r="B140" s="12" t="s">
        <v>20</v>
      </c>
      <c r="C140" s="12" t="s">
        <v>12</v>
      </c>
      <c r="D140" s="22" t="s">
        <v>216</v>
      </c>
      <c r="E140" s="13">
        <v>11</v>
      </c>
      <c r="F140" s="13">
        <v>70</v>
      </c>
      <c r="G140" s="14">
        <f>ROUND(E140*F140,2)</f>
        <v>770</v>
      </c>
    </row>
    <row r="141" spans="1:7" ht="42.9" x14ac:dyDescent="0.4">
      <c r="A141" s="10"/>
      <c r="B141" s="10"/>
      <c r="C141" s="10"/>
      <c r="D141" s="15" t="s">
        <v>217</v>
      </c>
      <c r="E141" s="10"/>
      <c r="F141" s="10"/>
      <c r="G141" s="10"/>
    </row>
    <row r="142" spans="1:7" x14ac:dyDescent="0.4">
      <c r="A142" s="12" t="s">
        <v>158</v>
      </c>
      <c r="B142" s="12" t="s">
        <v>20</v>
      </c>
      <c r="C142" s="12" t="s">
        <v>160</v>
      </c>
      <c r="D142" s="22" t="s">
        <v>159</v>
      </c>
      <c r="E142" s="13">
        <v>-4</v>
      </c>
      <c r="F142" s="13">
        <v>0</v>
      </c>
      <c r="G142" s="14">
        <f>ROUND(E142*F142,2)</f>
        <v>0</v>
      </c>
    </row>
    <row r="143" spans="1:7" ht="53.6" x14ac:dyDescent="0.4">
      <c r="A143" s="10"/>
      <c r="B143" s="10"/>
      <c r="C143" s="10"/>
      <c r="D143" s="15" t="s">
        <v>161</v>
      </c>
      <c r="E143" s="10"/>
      <c r="F143" s="10"/>
      <c r="G143" s="10"/>
    </row>
    <row r="144" spans="1:7" x14ac:dyDescent="0.4">
      <c r="A144" s="12" t="s">
        <v>155</v>
      </c>
      <c r="B144" s="12" t="s">
        <v>20</v>
      </c>
      <c r="C144" s="12" t="s">
        <v>52</v>
      </c>
      <c r="D144" s="22" t="s">
        <v>156</v>
      </c>
      <c r="E144" s="13">
        <v>-42.5</v>
      </c>
      <c r="F144" s="13">
        <v>38</v>
      </c>
      <c r="G144" s="14">
        <f>ROUND(E144*F144,2)</f>
        <v>-1615</v>
      </c>
    </row>
    <row r="145" spans="1:7" ht="53.6" x14ac:dyDescent="0.4">
      <c r="A145" s="10"/>
      <c r="B145" s="10"/>
      <c r="C145" s="10"/>
      <c r="D145" s="15" t="s">
        <v>157</v>
      </c>
      <c r="E145" s="10"/>
      <c r="F145" s="10"/>
      <c r="G145" s="10"/>
    </row>
    <row r="146" spans="1:7" x14ac:dyDescent="0.4">
      <c r="A146" s="12" t="s">
        <v>218</v>
      </c>
      <c r="B146" s="12" t="s">
        <v>20</v>
      </c>
      <c r="C146" s="12" t="s">
        <v>52</v>
      </c>
      <c r="D146" s="22" t="s">
        <v>219</v>
      </c>
      <c r="E146" s="13">
        <v>-30</v>
      </c>
      <c r="F146" s="13">
        <v>0</v>
      </c>
      <c r="G146" s="14">
        <f>ROUND(E146*F146,2)</f>
        <v>0</v>
      </c>
    </row>
    <row r="147" spans="1:7" ht="32.15" x14ac:dyDescent="0.4">
      <c r="A147" s="10"/>
      <c r="B147" s="10"/>
      <c r="C147" s="10"/>
      <c r="D147" s="15" t="s">
        <v>220</v>
      </c>
      <c r="E147" s="10"/>
      <c r="F147" s="10"/>
      <c r="G147" s="10"/>
    </row>
    <row r="148" spans="1:7" x14ac:dyDescent="0.4">
      <c r="A148" s="12" t="s">
        <v>162</v>
      </c>
      <c r="B148" s="12" t="s">
        <v>20</v>
      </c>
      <c r="C148" s="12" t="s">
        <v>160</v>
      </c>
      <c r="D148" s="22" t="s">
        <v>163</v>
      </c>
      <c r="E148" s="13">
        <v>-4</v>
      </c>
      <c r="F148" s="13">
        <v>0</v>
      </c>
      <c r="G148" s="14">
        <f>ROUND(E148*F148,2)</f>
        <v>0</v>
      </c>
    </row>
    <row r="149" spans="1:7" ht="32.15" x14ac:dyDescent="0.4">
      <c r="A149" s="10"/>
      <c r="B149" s="10"/>
      <c r="C149" s="10"/>
      <c r="D149" s="15" t="s">
        <v>164</v>
      </c>
      <c r="E149" s="10"/>
      <c r="F149" s="10"/>
      <c r="G149" s="10"/>
    </row>
    <row r="150" spans="1:7" x14ac:dyDescent="0.4">
      <c r="A150" s="10"/>
      <c r="B150" s="10"/>
      <c r="C150" s="10"/>
      <c r="D150" s="23" t="s">
        <v>221</v>
      </c>
      <c r="E150" s="13">
        <v>1</v>
      </c>
      <c r="F150" s="9">
        <f>G110+G112+G114+G116+G118+G120+G122+G124+G126+G128+G130+G132+G134+G136+G138+G140+G142+G144+G146+G148</f>
        <v>21293.14</v>
      </c>
      <c r="G150" s="9">
        <f>ROUND(F150*E150,2)</f>
        <v>21293.14</v>
      </c>
    </row>
    <row r="151" spans="1:7" x14ac:dyDescent="0.4">
      <c r="A151" s="16"/>
      <c r="B151" s="16"/>
      <c r="C151" s="16"/>
      <c r="D151" s="24"/>
      <c r="E151" s="16"/>
      <c r="F151" s="16"/>
      <c r="G151" s="16"/>
    </row>
    <row r="152" spans="1:7" x14ac:dyDescent="0.4">
      <c r="A152" s="10"/>
      <c r="B152" s="10"/>
      <c r="C152" s="10"/>
      <c r="D152" s="23" t="s">
        <v>222</v>
      </c>
      <c r="E152" s="13">
        <v>1</v>
      </c>
      <c r="F152" s="9">
        <f>G10+G27+G96+G107+G150</f>
        <v>58932.3</v>
      </c>
      <c r="G152" s="9">
        <f>ROUND(F152*E152,2)</f>
        <v>58932.3</v>
      </c>
    </row>
    <row r="153" spans="1:7" x14ac:dyDescent="0.4">
      <c r="A153" s="16"/>
      <c r="B153" s="16"/>
      <c r="C153" s="16"/>
      <c r="D153" s="24"/>
      <c r="E153" s="16"/>
      <c r="F153" s="16"/>
      <c r="G153" s="16"/>
    </row>
    <row r="154" spans="1:7" x14ac:dyDescent="0.4">
      <c r="A154" s="10"/>
      <c r="B154" s="10"/>
      <c r="C154" s="10"/>
      <c r="D154" s="23" t="s">
        <v>223</v>
      </c>
      <c r="E154" s="17">
        <v>1</v>
      </c>
      <c r="F154" s="9">
        <f>G152</f>
        <v>58932.3</v>
      </c>
      <c r="G154" s="9">
        <f>ROUND(F154*E154,2)</f>
        <v>58932.3</v>
      </c>
    </row>
    <row r="155" spans="1:7" x14ac:dyDescent="0.4">
      <c r="A155" s="16"/>
      <c r="B155" s="16"/>
      <c r="C155" s="16"/>
      <c r="D155" s="24"/>
      <c r="E155" s="16"/>
      <c r="F155" s="16"/>
      <c r="G155" s="16"/>
    </row>
    <row r="156" spans="1:7" x14ac:dyDescent="0.4">
      <c r="A156" s="7" t="s">
        <v>224</v>
      </c>
      <c r="B156" s="7" t="s">
        <v>11</v>
      </c>
      <c r="C156" s="7" t="s">
        <v>12</v>
      </c>
      <c r="D156" s="20" t="s">
        <v>225</v>
      </c>
      <c r="E156" s="8">
        <f>E254</f>
        <v>1</v>
      </c>
      <c r="F156" s="9">
        <f>F254</f>
        <v>0</v>
      </c>
      <c r="G156" s="9">
        <f>G254</f>
        <v>0</v>
      </c>
    </row>
    <row r="157" spans="1:7" x14ac:dyDescent="0.4">
      <c r="A157" s="11" t="s">
        <v>226</v>
      </c>
      <c r="B157" s="11" t="s">
        <v>11</v>
      </c>
      <c r="C157" s="11" t="s">
        <v>15</v>
      </c>
      <c r="D157" s="21" t="s">
        <v>227</v>
      </c>
      <c r="E157" s="9">
        <f>E182</f>
        <v>0</v>
      </c>
      <c r="F157" s="9">
        <f>F182</f>
        <v>125641.75</v>
      </c>
      <c r="G157" s="9">
        <f>G182</f>
        <v>0</v>
      </c>
    </row>
    <row r="158" spans="1:7" x14ac:dyDescent="0.4">
      <c r="A158" s="10"/>
      <c r="B158" s="10"/>
      <c r="C158" s="10"/>
      <c r="D158" s="15"/>
      <c r="E158" s="10"/>
      <c r="F158" s="10"/>
      <c r="G158" s="10"/>
    </row>
    <row r="159" spans="1:7" x14ac:dyDescent="0.4">
      <c r="A159" s="11" t="s">
        <v>228</v>
      </c>
      <c r="B159" s="11" t="s">
        <v>11</v>
      </c>
      <c r="C159" s="11" t="s">
        <v>15</v>
      </c>
      <c r="D159" s="21" t="s">
        <v>229</v>
      </c>
      <c r="E159" s="9">
        <f>E168</f>
        <v>1</v>
      </c>
      <c r="F159" s="9">
        <f>F168</f>
        <v>76761.75</v>
      </c>
      <c r="G159" s="9">
        <f>G168</f>
        <v>76761.75</v>
      </c>
    </row>
    <row r="160" spans="1:7" x14ac:dyDescent="0.4">
      <c r="A160" s="12" t="s">
        <v>230</v>
      </c>
      <c r="B160" s="12" t="s">
        <v>20</v>
      </c>
      <c r="C160" s="12" t="s">
        <v>12</v>
      </c>
      <c r="D160" s="22" t="s">
        <v>19</v>
      </c>
      <c r="E160" s="13">
        <v>208</v>
      </c>
      <c r="F160" s="13">
        <v>100</v>
      </c>
      <c r="G160" s="14">
        <f>ROUND(E160*F160,2)</f>
        <v>20800</v>
      </c>
    </row>
    <row r="161" spans="1:7" ht="21.45" x14ac:dyDescent="0.4">
      <c r="A161" s="10"/>
      <c r="B161" s="10"/>
      <c r="C161" s="10"/>
      <c r="D161" s="15" t="s">
        <v>231</v>
      </c>
      <c r="E161" s="10"/>
      <c r="F161" s="10"/>
      <c r="G161" s="10"/>
    </row>
    <row r="162" spans="1:7" x14ac:dyDescent="0.4">
      <c r="A162" s="12" t="s">
        <v>232</v>
      </c>
      <c r="B162" s="12" t="s">
        <v>20</v>
      </c>
      <c r="C162" s="12" t="s">
        <v>52</v>
      </c>
      <c r="D162" s="22" t="s">
        <v>233</v>
      </c>
      <c r="E162" s="13">
        <v>832</v>
      </c>
      <c r="F162" s="13">
        <v>30</v>
      </c>
      <c r="G162" s="14">
        <f>ROUND(E162*F162,2)</f>
        <v>24960</v>
      </c>
    </row>
    <row r="163" spans="1:7" ht="32.15" x14ac:dyDescent="0.4">
      <c r="A163" s="10"/>
      <c r="B163" s="10"/>
      <c r="C163" s="10"/>
      <c r="D163" s="15" t="s">
        <v>234</v>
      </c>
      <c r="E163" s="10"/>
      <c r="F163" s="10"/>
      <c r="G163" s="10"/>
    </row>
    <row r="164" spans="1:7" x14ac:dyDescent="0.4">
      <c r="A164" s="12" t="s">
        <v>235</v>
      </c>
      <c r="B164" s="12" t="s">
        <v>20</v>
      </c>
      <c r="C164" s="12" t="s">
        <v>52</v>
      </c>
      <c r="D164" s="22" t="s">
        <v>236</v>
      </c>
      <c r="E164" s="13">
        <v>1.3</v>
      </c>
      <c r="F164" s="13">
        <v>7.5</v>
      </c>
      <c r="G164" s="14">
        <f>ROUND(E164*F164,2)</f>
        <v>9.75</v>
      </c>
    </row>
    <row r="165" spans="1:7" ht="42.9" x14ac:dyDescent="0.4">
      <c r="A165" s="10"/>
      <c r="B165" s="10"/>
      <c r="C165" s="10"/>
      <c r="D165" s="15" t="s">
        <v>237</v>
      </c>
      <c r="E165" s="10"/>
      <c r="F165" s="10"/>
      <c r="G165" s="10"/>
    </row>
    <row r="166" spans="1:7" x14ac:dyDescent="0.4">
      <c r="A166" s="12" t="s">
        <v>238</v>
      </c>
      <c r="B166" s="12" t="s">
        <v>20</v>
      </c>
      <c r="C166" s="12" t="s">
        <v>160</v>
      </c>
      <c r="D166" s="22" t="s">
        <v>239</v>
      </c>
      <c r="E166" s="13">
        <v>416</v>
      </c>
      <c r="F166" s="13">
        <v>74.5</v>
      </c>
      <c r="G166" s="14">
        <f>ROUND(E166*F166,2)</f>
        <v>30992</v>
      </c>
    </row>
    <row r="167" spans="1:7" ht="64.3" x14ac:dyDescent="0.4">
      <c r="A167" s="10"/>
      <c r="B167" s="10"/>
      <c r="C167" s="10"/>
      <c r="D167" s="15" t="s">
        <v>240</v>
      </c>
      <c r="E167" s="10"/>
      <c r="F167" s="10"/>
      <c r="G167" s="10"/>
    </row>
    <row r="168" spans="1:7" x14ac:dyDescent="0.4">
      <c r="A168" s="10"/>
      <c r="B168" s="10"/>
      <c r="C168" s="10"/>
      <c r="D168" s="23" t="s">
        <v>241</v>
      </c>
      <c r="E168" s="13">
        <v>1</v>
      </c>
      <c r="F168" s="9">
        <f>G160+G162+G164+G166</f>
        <v>76761.75</v>
      </c>
      <c r="G168" s="9">
        <f>ROUND(F168*E168,2)</f>
        <v>76761.75</v>
      </c>
    </row>
    <row r="169" spans="1:7" x14ac:dyDescent="0.4">
      <c r="A169" s="16"/>
      <c r="B169" s="16"/>
      <c r="C169" s="16"/>
      <c r="D169" s="24"/>
      <c r="E169" s="16"/>
      <c r="F169" s="16"/>
      <c r="G169" s="16"/>
    </row>
    <row r="170" spans="1:7" x14ac:dyDescent="0.4">
      <c r="A170" s="11" t="s">
        <v>242</v>
      </c>
      <c r="B170" s="11" t="s">
        <v>11</v>
      </c>
      <c r="C170" s="11" t="s">
        <v>15</v>
      </c>
      <c r="D170" s="21" t="s">
        <v>243</v>
      </c>
      <c r="E170" s="9">
        <f>E173</f>
        <v>1</v>
      </c>
      <c r="F170" s="9">
        <f>F173</f>
        <v>6240</v>
      </c>
      <c r="G170" s="9">
        <f>G173</f>
        <v>6240</v>
      </c>
    </row>
    <row r="171" spans="1:7" x14ac:dyDescent="0.4">
      <c r="A171" s="12" t="s">
        <v>244</v>
      </c>
      <c r="B171" s="12" t="s">
        <v>20</v>
      </c>
      <c r="C171" s="12" t="s">
        <v>12</v>
      </c>
      <c r="D171" s="22" t="s">
        <v>245</v>
      </c>
      <c r="E171" s="13">
        <v>208</v>
      </c>
      <c r="F171" s="13">
        <v>30</v>
      </c>
      <c r="G171" s="14">
        <f>ROUND(E171*F171,2)</f>
        <v>6240</v>
      </c>
    </row>
    <row r="172" spans="1:7" ht="32.15" x14ac:dyDescent="0.4">
      <c r="A172" s="10"/>
      <c r="B172" s="10"/>
      <c r="C172" s="10"/>
      <c r="D172" s="15" t="s">
        <v>246</v>
      </c>
      <c r="E172" s="10"/>
      <c r="F172" s="10"/>
      <c r="G172" s="10"/>
    </row>
    <row r="173" spans="1:7" x14ac:dyDescent="0.4">
      <c r="A173" s="10"/>
      <c r="B173" s="10"/>
      <c r="C173" s="10"/>
      <c r="D173" s="23" t="s">
        <v>247</v>
      </c>
      <c r="E173" s="13">
        <v>1</v>
      </c>
      <c r="F173" s="9">
        <f>G171</f>
        <v>6240</v>
      </c>
      <c r="G173" s="9">
        <f>ROUND(F173*E173,2)</f>
        <v>6240</v>
      </c>
    </row>
    <row r="174" spans="1:7" x14ac:dyDescent="0.4">
      <c r="A174" s="16"/>
      <c r="B174" s="16"/>
      <c r="C174" s="16"/>
      <c r="D174" s="24"/>
      <c r="E174" s="16"/>
      <c r="F174" s="16"/>
      <c r="G174" s="16"/>
    </row>
    <row r="175" spans="1:7" x14ac:dyDescent="0.4">
      <c r="A175" s="11" t="s">
        <v>248</v>
      </c>
      <c r="B175" s="11" t="s">
        <v>11</v>
      </c>
      <c r="C175" s="11" t="s">
        <v>15</v>
      </c>
      <c r="D175" s="21" t="s">
        <v>249</v>
      </c>
      <c r="E175" s="9">
        <f>E180</f>
        <v>1</v>
      </c>
      <c r="F175" s="9">
        <f>F180</f>
        <v>42640</v>
      </c>
      <c r="G175" s="9">
        <f>G180</f>
        <v>42640</v>
      </c>
    </row>
    <row r="176" spans="1:7" x14ac:dyDescent="0.4">
      <c r="A176" s="12" t="s">
        <v>250</v>
      </c>
      <c r="B176" s="12" t="s">
        <v>20</v>
      </c>
      <c r="C176" s="12" t="s">
        <v>12</v>
      </c>
      <c r="D176" s="22" t="s">
        <v>19</v>
      </c>
      <c r="E176" s="13">
        <v>208</v>
      </c>
      <c r="F176" s="13">
        <v>100</v>
      </c>
      <c r="G176" s="14">
        <f>ROUND(E176*F176,2)</f>
        <v>20800</v>
      </c>
    </row>
    <row r="177" spans="1:7" ht="21.45" x14ac:dyDescent="0.4">
      <c r="A177" s="10"/>
      <c r="B177" s="10"/>
      <c r="C177" s="10"/>
      <c r="D177" s="15" t="s">
        <v>231</v>
      </c>
      <c r="E177" s="10"/>
      <c r="F177" s="10"/>
      <c r="G177" s="10"/>
    </row>
    <row r="178" spans="1:7" x14ac:dyDescent="0.4">
      <c r="A178" s="12" t="s">
        <v>251</v>
      </c>
      <c r="B178" s="12" t="s">
        <v>20</v>
      </c>
      <c r="C178" s="12" t="s">
        <v>253</v>
      </c>
      <c r="D178" s="22" t="s">
        <v>252</v>
      </c>
      <c r="E178" s="13">
        <v>208</v>
      </c>
      <c r="F178" s="13">
        <v>105</v>
      </c>
      <c r="G178" s="14">
        <f>ROUND(E178*F178,2)</f>
        <v>21840</v>
      </c>
    </row>
    <row r="179" spans="1:7" ht="32.15" x14ac:dyDescent="0.4">
      <c r="A179" s="10"/>
      <c r="B179" s="10"/>
      <c r="C179" s="10"/>
      <c r="D179" s="15" t="s">
        <v>254</v>
      </c>
      <c r="E179" s="10"/>
      <c r="F179" s="10"/>
      <c r="G179" s="10"/>
    </row>
    <row r="180" spans="1:7" x14ac:dyDescent="0.4">
      <c r="A180" s="10"/>
      <c r="B180" s="10"/>
      <c r="C180" s="10"/>
      <c r="D180" s="23" t="s">
        <v>255</v>
      </c>
      <c r="E180" s="13">
        <v>1</v>
      </c>
      <c r="F180" s="9">
        <f>G176+G178</f>
        <v>42640</v>
      </c>
      <c r="G180" s="9">
        <f>ROUND(F180*E180,2)</f>
        <v>42640</v>
      </c>
    </row>
    <row r="181" spans="1:7" x14ac:dyDescent="0.4">
      <c r="A181" s="16"/>
      <c r="B181" s="16"/>
      <c r="C181" s="16"/>
      <c r="D181" s="24"/>
      <c r="E181" s="16"/>
      <c r="F181" s="16"/>
      <c r="G181" s="16"/>
    </row>
    <row r="182" spans="1:7" x14ac:dyDescent="0.4">
      <c r="A182" s="10"/>
      <c r="B182" s="10"/>
      <c r="C182" s="10"/>
      <c r="D182" s="23" t="s">
        <v>256</v>
      </c>
      <c r="E182" s="13">
        <v>0</v>
      </c>
      <c r="F182" s="9">
        <f>G168+G173+G180</f>
        <v>125641.75</v>
      </c>
      <c r="G182" s="9">
        <f>ROUND(F182*E182,2)</f>
        <v>0</v>
      </c>
    </row>
    <row r="183" spans="1:7" x14ac:dyDescent="0.4">
      <c r="A183" s="16"/>
      <c r="B183" s="16"/>
      <c r="C183" s="16"/>
      <c r="D183" s="24"/>
      <c r="E183" s="16"/>
      <c r="F183" s="16"/>
      <c r="G183" s="16"/>
    </row>
    <row r="184" spans="1:7" x14ac:dyDescent="0.4">
      <c r="A184" s="11" t="s">
        <v>257</v>
      </c>
      <c r="B184" s="11" t="s">
        <v>11</v>
      </c>
      <c r="C184" s="11" t="s">
        <v>15</v>
      </c>
      <c r="D184" s="21" t="s">
        <v>258</v>
      </c>
      <c r="E184" s="9">
        <f>E207</f>
        <v>0</v>
      </c>
      <c r="F184" s="9">
        <f>F207</f>
        <v>2821.95</v>
      </c>
      <c r="G184" s="9">
        <f>G207</f>
        <v>0</v>
      </c>
    </row>
    <row r="185" spans="1:7" x14ac:dyDescent="0.4">
      <c r="A185" s="11" t="s">
        <v>259</v>
      </c>
      <c r="B185" s="11" t="s">
        <v>11</v>
      </c>
      <c r="C185" s="11" t="s">
        <v>15</v>
      </c>
      <c r="D185" s="21" t="s">
        <v>229</v>
      </c>
      <c r="E185" s="9">
        <f>E198</f>
        <v>1</v>
      </c>
      <c r="F185" s="9">
        <f>F198</f>
        <v>2821.95</v>
      </c>
      <c r="G185" s="9">
        <f>G198</f>
        <v>2821.95</v>
      </c>
    </row>
    <row r="186" spans="1:7" x14ac:dyDescent="0.4">
      <c r="A186" s="12" t="s">
        <v>232</v>
      </c>
      <c r="B186" s="12" t="s">
        <v>20</v>
      </c>
      <c r="C186" s="12" t="s">
        <v>52</v>
      </c>
      <c r="D186" s="22" t="s">
        <v>233</v>
      </c>
      <c r="E186" s="13">
        <v>0</v>
      </c>
      <c r="F186" s="13">
        <v>30</v>
      </c>
      <c r="G186" s="14">
        <f>ROUND(E186*F186,2)</f>
        <v>0</v>
      </c>
    </row>
    <row r="187" spans="1:7" ht="32.15" x14ac:dyDescent="0.4">
      <c r="A187" s="10"/>
      <c r="B187" s="10"/>
      <c r="C187" s="10"/>
      <c r="D187" s="15" t="s">
        <v>234</v>
      </c>
      <c r="E187" s="10"/>
      <c r="F187" s="10"/>
      <c r="G187" s="10"/>
    </row>
    <row r="188" spans="1:7" x14ac:dyDescent="0.4">
      <c r="A188" s="12" t="s">
        <v>260</v>
      </c>
      <c r="B188" s="12" t="s">
        <v>20</v>
      </c>
      <c r="C188" s="12" t="s">
        <v>52</v>
      </c>
      <c r="D188" s="22" t="s">
        <v>261</v>
      </c>
      <c r="E188" s="13">
        <v>3.9</v>
      </c>
      <c r="F188" s="13">
        <v>32</v>
      </c>
      <c r="G188" s="14">
        <f>ROUND(E188*F188,2)</f>
        <v>124.8</v>
      </c>
    </row>
    <row r="189" spans="1:7" ht="32.15" x14ac:dyDescent="0.4">
      <c r="A189" s="10"/>
      <c r="B189" s="10"/>
      <c r="C189" s="10"/>
      <c r="D189" s="15" t="s">
        <v>262</v>
      </c>
      <c r="E189" s="10"/>
      <c r="F189" s="10"/>
      <c r="G189" s="10"/>
    </row>
    <row r="190" spans="1:7" x14ac:dyDescent="0.4">
      <c r="A190" s="12" t="s">
        <v>263</v>
      </c>
      <c r="B190" s="12" t="s">
        <v>20</v>
      </c>
      <c r="C190" s="12" t="s">
        <v>52</v>
      </c>
      <c r="D190" s="22" t="s">
        <v>264</v>
      </c>
      <c r="E190" s="13">
        <v>7.8</v>
      </c>
      <c r="F190" s="13">
        <v>34</v>
      </c>
      <c r="G190" s="14">
        <f>ROUND(E190*F190,2)</f>
        <v>265.2</v>
      </c>
    </row>
    <row r="191" spans="1:7" ht="32.15" x14ac:dyDescent="0.4">
      <c r="A191" s="10"/>
      <c r="B191" s="10"/>
      <c r="C191" s="10"/>
      <c r="D191" s="15" t="s">
        <v>265</v>
      </c>
      <c r="E191" s="10"/>
      <c r="F191" s="10"/>
      <c r="G191" s="10"/>
    </row>
    <row r="192" spans="1:7" x14ac:dyDescent="0.4">
      <c r="A192" s="12" t="s">
        <v>266</v>
      </c>
      <c r="B192" s="12" t="s">
        <v>20</v>
      </c>
      <c r="C192" s="12" t="s">
        <v>52</v>
      </c>
      <c r="D192" s="22" t="s">
        <v>267</v>
      </c>
      <c r="E192" s="13">
        <v>3.9</v>
      </c>
      <c r="F192" s="13">
        <v>43</v>
      </c>
      <c r="G192" s="14">
        <f>ROUND(E192*F192,2)</f>
        <v>167.7</v>
      </c>
    </row>
    <row r="193" spans="1:7" ht="32.15" x14ac:dyDescent="0.4">
      <c r="A193" s="10"/>
      <c r="B193" s="10"/>
      <c r="C193" s="10"/>
      <c r="D193" s="15" t="s">
        <v>268</v>
      </c>
      <c r="E193" s="10"/>
      <c r="F193" s="10"/>
      <c r="G193" s="10"/>
    </row>
    <row r="194" spans="1:7" x14ac:dyDescent="0.4">
      <c r="A194" s="12" t="s">
        <v>168</v>
      </c>
      <c r="B194" s="12" t="s">
        <v>20</v>
      </c>
      <c r="C194" s="12" t="s">
        <v>170</v>
      </c>
      <c r="D194" s="22" t="s">
        <v>169</v>
      </c>
      <c r="E194" s="13">
        <v>0.6</v>
      </c>
      <c r="F194" s="13">
        <v>23.75</v>
      </c>
      <c r="G194" s="14">
        <f>ROUND(E194*F194,2)</f>
        <v>14.25</v>
      </c>
    </row>
    <row r="195" spans="1:7" ht="128.6" x14ac:dyDescent="0.4">
      <c r="A195" s="10"/>
      <c r="B195" s="10"/>
      <c r="C195" s="10"/>
      <c r="D195" s="15" t="s">
        <v>171</v>
      </c>
      <c r="E195" s="10"/>
      <c r="F195" s="10"/>
      <c r="G195" s="10"/>
    </row>
    <row r="196" spans="1:7" x14ac:dyDescent="0.4">
      <c r="A196" s="12" t="s">
        <v>269</v>
      </c>
      <c r="B196" s="12" t="s">
        <v>20</v>
      </c>
      <c r="C196" s="12" t="s">
        <v>12</v>
      </c>
      <c r="D196" s="22" t="s">
        <v>270</v>
      </c>
      <c r="E196" s="13">
        <v>90</v>
      </c>
      <c r="F196" s="13">
        <v>25</v>
      </c>
      <c r="G196" s="14">
        <f>ROUND(E196*F196,2)</f>
        <v>2250</v>
      </c>
    </row>
    <row r="197" spans="1:7" ht="42.9" x14ac:dyDescent="0.4">
      <c r="A197" s="10"/>
      <c r="B197" s="10"/>
      <c r="C197" s="10"/>
      <c r="D197" s="15" t="s">
        <v>271</v>
      </c>
      <c r="E197" s="10"/>
      <c r="F197" s="10"/>
      <c r="G197" s="10"/>
    </row>
    <row r="198" spans="1:7" x14ac:dyDescent="0.4">
      <c r="A198" s="10"/>
      <c r="B198" s="10"/>
      <c r="C198" s="10"/>
      <c r="D198" s="23" t="s">
        <v>272</v>
      </c>
      <c r="E198" s="13">
        <v>1</v>
      </c>
      <c r="F198" s="9">
        <f>G186+G188+G190+G192+G194+G196</f>
        <v>2821.95</v>
      </c>
      <c r="G198" s="9">
        <f>ROUND(F198*E198,2)</f>
        <v>2821.95</v>
      </c>
    </row>
    <row r="199" spans="1:7" x14ac:dyDescent="0.4">
      <c r="A199" s="16"/>
      <c r="B199" s="16"/>
      <c r="C199" s="16"/>
      <c r="D199" s="24"/>
      <c r="E199" s="16"/>
      <c r="F199" s="16"/>
      <c r="G199" s="16"/>
    </row>
    <row r="200" spans="1:7" x14ac:dyDescent="0.4">
      <c r="A200" s="11" t="s">
        <v>273</v>
      </c>
      <c r="B200" s="11" t="s">
        <v>11</v>
      </c>
      <c r="C200" s="11" t="s">
        <v>15</v>
      </c>
      <c r="D200" s="21" t="s">
        <v>274</v>
      </c>
      <c r="E200" s="9">
        <f>E205</f>
        <v>1</v>
      </c>
      <c r="F200" s="9">
        <f>F205</f>
        <v>0</v>
      </c>
      <c r="G200" s="9">
        <f>G205</f>
        <v>0</v>
      </c>
    </row>
    <row r="201" spans="1:7" x14ac:dyDescent="0.4">
      <c r="A201" s="12" t="s">
        <v>275</v>
      </c>
      <c r="B201" s="12" t="s">
        <v>20</v>
      </c>
      <c r="C201" s="12" t="s">
        <v>253</v>
      </c>
      <c r="D201" s="22" t="s">
        <v>276</v>
      </c>
      <c r="E201" s="13">
        <v>0</v>
      </c>
      <c r="F201" s="13">
        <v>376</v>
      </c>
      <c r="G201" s="14">
        <f>ROUND(E201*F201,2)</f>
        <v>0</v>
      </c>
    </row>
    <row r="202" spans="1:7" ht="235.75" x14ac:dyDescent="0.4">
      <c r="A202" s="10"/>
      <c r="B202" s="10"/>
      <c r="C202" s="10"/>
      <c r="D202" s="15" t="s">
        <v>277</v>
      </c>
      <c r="E202" s="10"/>
      <c r="F202" s="10"/>
      <c r="G202" s="10"/>
    </row>
    <row r="203" spans="1:7" x14ac:dyDescent="0.4">
      <c r="A203" s="12" t="s">
        <v>278</v>
      </c>
      <c r="B203" s="12" t="s">
        <v>20</v>
      </c>
      <c r="C203" s="12" t="s">
        <v>253</v>
      </c>
      <c r="D203" s="22" t="s">
        <v>279</v>
      </c>
      <c r="E203" s="13">
        <v>0</v>
      </c>
      <c r="F203" s="13">
        <v>269</v>
      </c>
      <c r="G203" s="14">
        <f>ROUND(E203*F203,2)</f>
        <v>0</v>
      </c>
    </row>
    <row r="204" spans="1:7" ht="235.75" x14ac:dyDescent="0.4">
      <c r="A204" s="10"/>
      <c r="B204" s="10"/>
      <c r="C204" s="10"/>
      <c r="D204" s="15" t="s">
        <v>280</v>
      </c>
      <c r="E204" s="10"/>
      <c r="F204" s="10"/>
      <c r="G204" s="10"/>
    </row>
    <row r="205" spans="1:7" x14ac:dyDescent="0.4">
      <c r="A205" s="10"/>
      <c r="B205" s="10"/>
      <c r="C205" s="10"/>
      <c r="D205" s="23" t="s">
        <v>281</v>
      </c>
      <c r="E205" s="13">
        <v>1</v>
      </c>
      <c r="F205" s="9">
        <f>G201+G203</f>
        <v>0</v>
      </c>
      <c r="G205" s="9">
        <f>ROUND(F205*E205,2)</f>
        <v>0</v>
      </c>
    </row>
    <row r="206" spans="1:7" x14ac:dyDescent="0.4">
      <c r="A206" s="16"/>
      <c r="B206" s="16"/>
      <c r="C206" s="16"/>
      <c r="D206" s="24"/>
      <c r="E206" s="16"/>
      <c r="F206" s="16"/>
      <c r="G206" s="16"/>
    </row>
    <row r="207" spans="1:7" x14ac:dyDescent="0.4">
      <c r="A207" s="10"/>
      <c r="B207" s="10"/>
      <c r="C207" s="10"/>
      <c r="D207" s="23" t="s">
        <v>282</v>
      </c>
      <c r="E207" s="13">
        <v>0</v>
      </c>
      <c r="F207" s="9">
        <f>G198+G205</f>
        <v>2821.95</v>
      </c>
      <c r="G207" s="9">
        <f>ROUND(F207*E207,2)</f>
        <v>0</v>
      </c>
    </row>
    <row r="208" spans="1:7" x14ac:dyDescent="0.4">
      <c r="A208" s="16"/>
      <c r="B208" s="16"/>
      <c r="C208" s="16"/>
      <c r="D208" s="24"/>
      <c r="E208" s="16"/>
      <c r="F208" s="16"/>
      <c r="G208" s="16"/>
    </row>
    <row r="209" spans="1:7" x14ac:dyDescent="0.4">
      <c r="A209" s="11" t="s">
        <v>283</v>
      </c>
      <c r="B209" s="11" t="s">
        <v>11</v>
      </c>
      <c r="C209" s="11" t="s">
        <v>15</v>
      </c>
      <c r="D209" s="21" t="s">
        <v>284</v>
      </c>
      <c r="E209" s="9">
        <f>E228</f>
        <v>0</v>
      </c>
      <c r="F209" s="9">
        <f>F228</f>
        <v>535.45000000000005</v>
      </c>
      <c r="G209" s="9">
        <f>G228</f>
        <v>0</v>
      </c>
    </row>
    <row r="210" spans="1:7" x14ac:dyDescent="0.4">
      <c r="A210" s="11" t="s">
        <v>285</v>
      </c>
      <c r="B210" s="11" t="s">
        <v>11</v>
      </c>
      <c r="C210" s="11" t="s">
        <v>15</v>
      </c>
      <c r="D210" s="21" t="s">
        <v>229</v>
      </c>
      <c r="E210" s="9">
        <f>E221</f>
        <v>1</v>
      </c>
      <c r="F210" s="9">
        <f>F221</f>
        <v>535.45000000000005</v>
      </c>
      <c r="G210" s="9">
        <f>G221</f>
        <v>535.45000000000005</v>
      </c>
    </row>
    <row r="211" spans="1:7" x14ac:dyDescent="0.4">
      <c r="A211" s="12" t="s">
        <v>232</v>
      </c>
      <c r="B211" s="12" t="s">
        <v>20</v>
      </c>
      <c r="C211" s="12" t="s">
        <v>52</v>
      </c>
      <c r="D211" s="22" t="s">
        <v>233</v>
      </c>
      <c r="E211" s="13">
        <v>3.9</v>
      </c>
      <c r="F211" s="13">
        <v>30</v>
      </c>
      <c r="G211" s="14">
        <f>ROUND(E211*F211,2)</f>
        <v>117</v>
      </c>
    </row>
    <row r="212" spans="1:7" ht="32.15" x14ac:dyDescent="0.4">
      <c r="A212" s="10"/>
      <c r="B212" s="10"/>
      <c r="C212" s="10"/>
      <c r="D212" s="15" t="s">
        <v>234</v>
      </c>
      <c r="E212" s="10"/>
      <c r="F212" s="10"/>
      <c r="G212" s="10"/>
    </row>
    <row r="213" spans="1:7" x14ac:dyDescent="0.4">
      <c r="A213" s="12" t="s">
        <v>260</v>
      </c>
      <c r="B213" s="12" t="s">
        <v>20</v>
      </c>
      <c r="C213" s="12" t="s">
        <v>52</v>
      </c>
      <c r="D213" s="22" t="s">
        <v>261</v>
      </c>
      <c r="E213" s="13">
        <v>7.8</v>
      </c>
      <c r="F213" s="13">
        <v>32</v>
      </c>
      <c r="G213" s="14">
        <f>ROUND(E213*F213,2)</f>
        <v>249.6</v>
      </c>
    </row>
    <row r="214" spans="1:7" ht="32.15" x14ac:dyDescent="0.4">
      <c r="A214" s="10"/>
      <c r="B214" s="10"/>
      <c r="C214" s="10"/>
      <c r="D214" s="15" t="s">
        <v>262</v>
      </c>
      <c r="E214" s="10"/>
      <c r="F214" s="10"/>
      <c r="G214" s="10"/>
    </row>
    <row r="215" spans="1:7" x14ac:dyDescent="0.4">
      <c r="A215" s="12" t="s">
        <v>263</v>
      </c>
      <c r="B215" s="12" t="s">
        <v>20</v>
      </c>
      <c r="C215" s="12" t="s">
        <v>52</v>
      </c>
      <c r="D215" s="22" t="s">
        <v>264</v>
      </c>
      <c r="E215" s="13">
        <v>3.9</v>
      </c>
      <c r="F215" s="13">
        <v>34</v>
      </c>
      <c r="G215" s="14">
        <f>ROUND(E215*F215,2)</f>
        <v>132.6</v>
      </c>
    </row>
    <row r="216" spans="1:7" ht="32.15" x14ac:dyDescent="0.4">
      <c r="A216" s="10"/>
      <c r="B216" s="10"/>
      <c r="C216" s="10"/>
      <c r="D216" s="15" t="s">
        <v>265</v>
      </c>
      <c r="E216" s="10"/>
      <c r="F216" s="10"/>
      <c r="G216" s="10"/>
    </row>
    <row r="217" spans="1:7" x14ac:dyDescent="0.4">
      <c r="A217" s="12" t="s">
        <v>168</v>
      </c>
      <c r="B217" s="12" t="s">
        <v>20</v>
      </c>
      <c r="C217" s="12" t="s">
        <v>170</v>
      </c>
      <c r="D217" s="22" t="s">
        <v>169</v>
      </c>
      <c r="E217" s="13">
        <v>0.6</v>
      </c>
      <c r="F217" s="13">
        <v>23.75</v>
      </c>
      <c r="G217" s="14">
        <f>ROUND(E217*F217,2)</f>
        <v>14.25</v>
      </c>
    </row>
    <row r="218" spans="1:7" ht="128.6" x14ac:dyDescent="0.4">
      <c r="A218" s="10"/>
      <c r="B218" s="10"/>
      <c r="C218" s="10"/>
      <c r="D218" s="15" t="s">
        <v>171</v>
      </c>
      <c r="E218" s="10"/>
      <c r="F218" s="10"/>
      <c r="G218" s="10"/>
    </row>
    <row r="219" spans="1:7" x14ac:dyDescent="0.4">
      <c r="A219" s="12" t="s">
        <v>286</v>
      </c>
      <c r="B219" s="12" t="s">
        <v>20</v>
      </c>
      <c r="C219" s="12" t="s">
        <v>12</v>
      </c>
      <c r="D219" s="22" t="s">
        <v>287</v>
      </c>
      <c r="E219" s="13">
        <v>1</v>
      </c>
      <c r="F219" s="13">
        <v>22</v>
      </c>
      <c r="G219" s="14">
        <f>ROUND(E219*F219,2)</f>
        <v>22</v>
      </c>
    </row>
    <row r="220" spans="1:7" ht="42.9" x14ac:dyDescent="0.4">
      <c r="A220" s="10"/>
      <c r="B220" s="10"/>
      <c r="C220" s="10"/>
      <c r="D220" s="15" t="s">
        <v>288</v>
      </c>
      <c r="E220" s="10"/>
      <c r="F220" s="10"/>
      <c r="G220" s="10"/>
    </row>
    <row r="221" spans="1:7" x14ac:dyDescent="0.4">
      <c r="A221" s="10"/>
      <c r="B221" s="10"/>
      <c r="C221" s="10"/>
      <c r="D221" s="23" t="s">
        <v>289</v>
      </c>
      <c r="E221" s="13">
        <v>1</v>
      </c>
      <c r="F221" s="9">
        <f>G211+G213+G215+G217+G219</f>
        <v>535.45000000000005</v>
      </c>
      <c r="G221" s="9">
        <f>ROUND(F221*E221,2)</f>
        <v>535.45000000000005</v>
      </c>
    </row>
    <row r="222" spans="1:7" x14ac:dyDescent="0.4">
      <c r="A222" s="16"/>
      <c r="B222" s="16"/>
      <c r="C222" s="16"/>
      <c r="D222" s="24"/>
      <c r="E222" s="16"/>
      <c r="F222" s="16"/>
      <c r="G222" s="16"/>
    </row>
    <row r="223" spans="1:7" x14ac:dyDescent="0.4">
      <c r="A223" s="11" t="s">
        <v>290</v>
      </c>
      <c r="B223" s="11" t="s">
        <v>11</v>
      </c>
      <c r="C223" s="11" t="s">
        <v>15</v>
      </c>
      <c r="D223" s="21" t="s">
        <v>274</v>
      </c>
      <c r="E223" s="9">
        <f>E226</f>
        <v>1</v>
      </c>
      <c r="F223" s="9">
        <f>F226</f>
        <v>0</v>
      </c>
      <c r="G223" s="9">
        <f>G226</f>
        <v>0</v>
      </c>
    </row>
    <row r="224" spans="1:7" x14ac:dyDescent="0.4">
      <c r="A224" s="12" t="s">
        <v>278</v>
      </c>
      <c r="B224" s="12" t="s">
        <v>20</v>
      </c>
      <c r="C224" s="12" t="s">
        <v>253</v>
      </c>
      <c r="D224" s="22" t="s">
        <v>279</v>
      </c>
      <c r="E224" s="13">
        <v>0</v>
      </c>
      <c r="F224" s="13">
        <v>269</v>
      </c>
      <c r="G224" s="14">
        <f>ROUND(E224*F224,2)</f>
        <v>0</v>
      </c>
    </row>
    <row r="225" spans="1:7" ht="235.75" x14ac:dyDescent="0.4">
      <c r="A225" s="10"/>
      <c r="B225" s="10"/>
      <c r="C225" s="10"/>
      <c r="D225" s="15" t="s">
        <v>280</v>
      </c>
      <c r="E225" s="10"/>
      <c r="F225" s="10"/>
      <c r="G225" s="10"/>
    </row>
    <row r="226" spans="1:7" x14ac:dyDescent="0.4">
      <c r="A226" s="10"/>
      <c r="B226" s="10"/>
      <c r="C226" s="10"/>
      <c r="D226" s="23" t="s">
        <v>291</v>
      </c>
      <c r="E226" s="13">
        <v>1</v>
      </c>
      <c r="F226" s="9">
        <f>G224</f>
        <v>0</v>
      </c>
      <c r="G226" s="9">
        <f>ROUND(F226*E226,2)</f>
        <v>0</v>
      </c>
    </row>
    <row r="227" spans="1:7" x14ac:dyDescent="0.4">
      <c r="A227" s="16"/>
      <c r="B227" s="16"/>
      <c r="C227" s="16"/>
      <c r="D227" s="24"/>
      <c r="E227" s="16"/>
      <c r="F227" s="16"/>
      <c r="G227" s="16"/>
    </row>
    <row r="228" spans="1:7" x14ac:dyDescent="0.4">
      <c r="A228" s="10"/>
      <c r="B228" s="10"/>
      <c r="C228" s="10"/>
      <c r="D228" s="23" t="s">
        <v>292</v>
      </c>
      <c r="E228" s="13">
        <v>0</v>
      </c>
      <c r="F228" s="9">
        <f>G221+G226</f>
        <v>535.45000000000005</v>
      </c>
      <c r="G228" s="9">
        <f>ROUND(F228*E228,2)</f>
        <v>0</v>
      </c>
    </row>
    <row r="229" spans="1:7" x14ac:dyDescent="0.4">
      <c r="A229" s="16"/>
      <c r="B229" s="16"/>
      <c r="C229" s="16"/>
      <c r="D229" s="24"/>
      <c r="E229" s="16"/>
      <c r="F229" s="16"/>
      <c r="G229" s="16"/>
    </row>
    <row r="230" spans="1:7" x14ac:dyDescent="0.4">
      <c r="A230" s="11" t="s">
        <v>293</v>
      </c>
      <c r="B230" s="11" t="s">
        <v>11</v>
      </c>
      <c r="C230" s="11" t="s">
        <v>15</v>
      </c>
      <c r="D230" s="21" t="s">
        <v>294</v>
      </c>
      <c r="E230" s="9">
        <f>E247</f>
        <v>0</v>
      </c>
      <c r="F230" s="9">
        <f>F247</f>
        <v>570.85</v>
      </c>
      <c r="G230" s="9">
        <f>G247</f>
        <v>0</v>
      </c>
    </row>
    <row r="231" spans="1:7" x14ac:dyDescent="0.4">
      <c r="A231" s="11" t="s">
        <v>295</v>
      </c>
      <c r="B231" s="11" t="s">
        <v>11</v>
      </c>
      <c r="C231" s="11" t="s">
        <v>15</v>
      </c>
      <c r="D231" s="21" t="s">
        <v>229</v>
      </c>
      <c r="E231" s="9">
        <f>E240</f>
        <v>1</v>
      </c>
      <c r="F231" s="9">
        <f>F240</f>
        <v>401.85</v>
      </c>
      <c r="G231" s="9">
        <f>G240</f>
        <v>401.85</v>
      </c>
    </row>
    <row r="232" spans="1:7" x14ac:dyDescent="0.4">
      <c r="A232" s="12" t="s">
        <v>232</v>
      </c>
      <c r="B232" s="12" t="s">
        <v>20</v>
      </c>
      <c r="C232" s="12" t="s">
        <v>52</v>
      </c>
      <c r="D232" s="22" t="s">
        <v>233</v>
      </c>
      <c r="E232" s="13">
        <v>3.9</v>
      </c>
      <c r="F232" s="13">
        <v>30</v>
      </c>
      <c r="G232" s="14">
        <f>ROUND(E232*F232,2)</f>
        <v>117</v>
      </c>
    </row>
    <row r="233" spans="1:7" ht="32.15" x14ac:dyDescent="0.4">
      <c r="A233" s="10"/>
      <c r="B233" s="10"/>
      <c r="C233" s="10"/>
      <c r="D233" s="15" t="s">
        <v>234</v>
      </c>
      <c r="E233" s="10"/>
      <c r="F233" s="10"/>
      <c r="G233" s="10"/>
    </row>
    <row r="234" spans="1:7" x14ac:dyDescent="0.4">
      <c r="A234" s="12" t="s">
        <v>260</v>
      </c>
      <c r="B234" s="12" t="s">
        <v>20</v>
      </c>
      <c r="C234" s="12" t="s">
        <v>52</v>
      </c>
      <c r="D234" s="22" t="s">
        <v>261</v>
      </c>
      <c r="E234" s="13">
        <v>7.8</v>
      </c>
      <c r="F234" s="13">
        <v>32</v>
      </c>
      <c r="G234" s="14">
        <f>ROUND(E234*F234,2)</f>
        <v>249.6</v>
      </c>
    </row>
    <row r="235" spans="1:7" ht="32.15" x14ac:dyDescent="0.4">
      <c r="A235" s="10"/>
      <c r="B235" s="10"/>
      <c r="C235" s="10"/>
      <c r="D235" s="15" t="s">
        <v>262</v>
      </c>
      <c r="E235" s="10"/>
      <c r="F235" s="10"/>
      <c r="G235" s="10"/>
    </row>
    <row r="236" spans="1:7" x14ac:dyDescent="0.4">
      <c r="A236" s="12" t="s">
        <v>168</v>
      </c>
      <c r="B236" s="12" t="s">
        <v>20</v>
      </c>
      <c r="C236" s="12" t="s">
        <v>170</v>
      </c>
      <c r="D236" s="22" t="s">
        <v>169</v>
      </c>
      <c r="E236" s="13">
        <v>0.6</v>
      </c>
      <c r="F236" s="13">
        <v>23.75</v>
      </c>
      <c r="G236" s="14">
        <f>ROUND(E236*F236,2)</f>
        <v>14.25</v>
      </c>
    </row>
    <row r="237" spans="1:7" ht="128.6" x14ac:dyDescent="0.4">
      <c r="A237" s="10"/>
      <c r="B237" s="10"/>
      <c r="C237" s="10"/>
      <c r="D237" s="15" t="s">
        <v>171</v>
      </c>
      <c r="E237" s="10"/>
      <c r="F237" s="10"/>
      <c r="G237" s="10"/>
    </row>
    <row r="238" spans="1:7" x14ac:dyDescent="0.4">
      <c r="A238" s="12" t="s">
        <v>296</v>
      </c>
      <c r="B238" s="12" t="s">
        <v>20</v>
      </c>
      <c r="C238" s="12" t="s">
        <v>12</v>
      </c>
      <c r="D238" s="22" t="s">
        <v>297</v>
      </c>
      <c r="E238" s="13">
        <v>1</v>
      </c>
      <c r="F238" s="13">
        <v>21</v>
      </c>
      <c r="G238" s="14">
        <f>ROUND(E238*F238,2)</f>
        <v>21</v>
      </c>
    </row>
    <row r="239" spans="1:7" ht="42.9" x14ac:dyDescent="0.4">
      <c r="A239" s="10"/>
      <c r="B239" s="10"/>
      <c r="C239" s="10"/>
      <c r="D239" s="15" t="s">
        <v>288</v>
      </c>
      <c r="E239" s="10"/>
      <c r="F239" s="10"/>
      <c r="G239" s="10"/>
    </row>
    <row r="240" spans="1:7" x14ac:dyDescent="0.4">
      <c r="A240" s="10"/>
      <c r="B240" s="10"/>
      <c r="C240" s="10"/>
      <c r="D240" s="23" t="s">
        <v>298</v>
      </c>
      <c r="E240" s="13">
        <v>1</v>
      </c>
      <c r="F240" s="9">
        <f>G232+G234+G236+G238</f>
        <v>401.85</v>
      </c>
      <c r="G240" s="9">
        <f>ROUND(F240*E240,2)</f>
        <v>401.85</v>
      </c>
    </row>
    <row r="241" spans="1:7" x14ac:dyDescent="0.4">
      <c r="A241" s="16"/>
      <c r="B241" s="16"/>
      <c r="C241" s="16"/>
      <c r="D241" s="24"/>
      <c r="E241" s="16"/>
      <c r="F241" s="16"/>
      <c r="G241" s="16"/>
    </row>
    <row r="242" spans="1:7" x14ac:dyDescent="0.4">
      <c r="A242" s="11" t="s">
        <v>299</v>
      </c>
      <c r="B242" s="11" t="s">
        <v>11</v>
      </c>
      <c r="C242" s="11" t="s">
        <v>15</v>
      </c>
      <c r="D242" s="21" t="s">
        <v>274</v>
      </c>
      <c r="E242" s="9">
        <f>E245</f>
        <v>1</v>
      </c>
      <c r="F242" s="9">
        <f>F245</f>
        <v>169</v>
      </c>
      <c r="G242" s="9">
        <f>G245</f>
        <v>169</v>
      </c>
    </row>
    <row r="243" spans="1:7" x14ac:dyDescent="0.4">
      <c r="A243" s="12" t="s">
        <v>300</v>
      </c>
      <c r="B243" s="12" t="s">
        <v>20</v>
      </c>
      <c r="C243" s="12" t="s">
        <v>253</v>
      </c>
      <c r="D243" s="22" t="s">
        <v>301</v>
      </c>
      <c r="E243" s="13">
        <v>1</v>
      </c>
      <c r="F243" s="13">
        <v>169</v>
      </c>
      <c r="G243" s="14">
        <f>ROUND(E243*F243,2)</f>
        <v>169</v>
      </c>
    </row>
    <row r="244" spans="1:7" ht="235.75" x14ac:dyDescent="0.4">
      <c r="A244" s="10"/>
      <c r="B244" s="10"/>
      <c r="C244" s="10"/>
      <c r="D244" s="15" t="s">
        <v>302</v>
      </c>
      <c r="E244" s="10"/>
      <c r="F244" s="10"/>
      <c r="G244" s="10"/>
    </row>
    <row r="245" spans="1:7" x14ac:dyDescent="0.4">
      <c r="A245" s="10"/>
      <c r="B245" s="10"/>
      <c r="C245" s="10"/>
      <c r="D245" s="23" t="s">
        <v>303</v>
      </c>
      <c r="E245" s="13">
        <v>1</v>
      </c>
      <c r="F245" s="9">
        <f>G243</f>
        <v>169</v>
      </c>
      <c r="G245" s="9">
        <f>ROUND(F245*E245,2)</f>
        <v>169</v>
      </c>
    </row>
    <row r="246" spans="1:7" x14ac:dyDescent="0.4">
      <c r="A246" s="16"/>
      <c r="B246" s="16"/>
      <c r="C246" s="16"/>
      <c r="D246" s="24"/>
      <c r="E246" s="16"/>
      <c r="F246" s="16"/>
      <c r="G246" s="16"/>
    </row>
    <row r="247" spans="1:7" x14ac:dyDescent="0.4">
      <c r="A247" s="10"/>
      <c r="B247" s="10"/>
      <c r="C247" s="10"/>
      <c r="D247" s="23" t="s">
        <v>304</v>
      </c>
      <c r="E247" s="13">
        <v>0</v>
      </c>
      <c r="F247" s="9">
        <f>G240+G245</f>
        <v>570.85</v>
      </c>
      <c r="G247" s="9">
        <f>ROUND(F247*E247,2)</f>
        <v>0</v>
      </c>
    </row>
    <row r="248" spans="1:7" x14ac:dyDescent="0.4">
      <c r="A248" s="16"/>
      <c r="B248" s="16"/>
      <c r="C248" s="16"/>
      <c r="D248" s="24"/>
      <c r="E248" s="16"/>
      <c r="F248" s="16"/>
      <c r="G248" s="16"/>
    </row>
    <row r="249" spans="1:7" x14ac:dyDescent="0.4">
      <c r="A249" s="11" t="s">
        <v>305</v>
      </c>
      <c r="B249" s="11" t="s">
        <v>11</v>
      </c>
      <c r="C249" s="11" t="s">
        <v>15</v>
      </c>
      <c r="D249" s="21" t="s">
        <v>306</v>
      </c>
      <c r="E249" s="9">
        <f>E252</f>
        <v>1</v>
      </c>
      <c r="F249" s="9">
        <f>F252</f>
        <v>0</v>
      </c>
      <c r="G249" s="9">
        <f>G252</f>
        <v>0</v>
      </c>
    </row>
    <row r="250" spans="1:7" x14ac:dyDescent="0.4">
      <c r="A250" s="11" t="s">
        <v>307</v>
      </c>
      <c r="B250" s="11" t="s">
        <v>11</v>
      </c>
      <c r="C250" s="11" t="s">
        <v>15</v>
      </c>
      <c r="D250" s="21" t="s">
        <v>308</v>
      </c>
      <c r="E250" s="18">
        <v>1</v>
      </c>
      <c r="F250" s="18">
        <v>0</v>
      </c>
      <c r="G250" s="18">
        <f>ROUND(E250*F250,2)</f>
        <v>0</v>
      </c>
    </row>
    <row r="251" spans="1:7" x14ac:dyDescent="0.4">
      <c r="A251" s="11" t="s">
        <v>309</v>
      </c>
      <c r="B251" s="11" t="s">
        <v>11</v>
      </c>
      <c r="C251" s="11" t="s">
        <v>15</v>
      </c>
      <c r="D251" s="21" t="s">
        <v>229</v>
      </c>
      <c r="E251" s="18">
        <v>1</v>
      </c>
      <c r="F251" s="18">
        <v>0</v>
      </c>
      <c r="G251" s="18">
        <f>ROUND(E251*F251,2)</f>
        <v>0</v>
      </c>
    </row>
    <row r="252" spans="1:7" x14ac:dyDescent="0.4">
      <c r="A252" s="10"/>
      <c r="B252" s="10"/>
      <c r="C252" s="10"/>
      <c r="D252" s="23" t="s">
        <v>310</v>
      </c>
      <c r="E252" s="13">
        <v>1</v>
      </c>
      <c r="F252" s="9">
        <f>SUM(G250:G251)</f>
        <v>0</v>
      </c>
      <c r="G252" s="9">
        <f>ROUND(F252*E252,2)</f>
        <v>0</v>
      </c>
    </row>
    <row r="253" spans="1:7" x14ac:dyDescent="0.4">
      <c r="A253" s="16"/>
      <c r="B253" s="16"/>
      <c r="C253" s="16"/>
      <c r="D253" s="24"/>
      <c r="E253" s="16"/>
      <c r="F253" s="16"/>
      <c r="G253" s="16"/>
    </row>
    <row r="254" spans="1:7" x14ac:dyDescent="0.4">
      <c r="A254" s="10"/>
      <c r="B254" s="10"/>
      <c r="C254" s="10"/>
      <c r="D254" s="23" t="s">
        <v>311</v>
      </c>
      <c r="E254" s="17">
        <v>1</v>
      </c>
      <c r="F254" s="9">
        <f>G182+G207+G228+G247+G252</f>
        <v>0</v>
      </c>
      <c r="G254" s="9">
        <f>ROUND(F254*E254,2)</f>
        <v>0</v>
      </c>
    </row>
    <row r="255" spans="1:7" x14ac:dyDescent="0.4">
      <c r="A255" s="16"/>
      <c r="B255" s="16"/>
      <c r="C255" s="16"/>
      <c r="D255" s="24"/>
      <c r="E255" s="16"/>
      <c r="F255" s="16"/>
      <c r="G255" s="16"/>
    </row>
    <row r="256" spans="1:7" x14ac:dyDescent="0.4">
      <c r="A256" s="10"/>
      <c r="B256" s="10"/>
      <c r="C256" s="10"/>
      <c r="D256" s="23" t="s">
        <v>312</v>
      </c>
      <c r="E256" s="17">
        <v>1</v>
      </c>
      <c r="F256" s="9">
        <f>G154+G254</f>
        <v>58932.3</v>
      </c>
      <c r="G256" s="9">
        <f>ROUND(F256*E256,2)</f>
        <v>58932.3</v>
      </c>
    </row>
    <row r="257" spans="1:7" x14ac:dyDescent="0.4">
      <c r="A257" s="10"/>
      <c r="B257" s="10"/>
      <c r="C257" s="10"/>
      <c r="D257" s="15"/>
      <c r="E257" s="10"/>
      <c r="F257" s="10"/>
      <c r="G257" s="10"/>
    </row>
  </sheetData>
  <dataValidations count="1">
    <dataValidation type="list" allowBlank="1" showInputMessage="1" showErrorMessage="1" sqref="B4:B257" xr:uid="{92ABA573-2CE9-400B-BF71-592CF13F5C13}">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2026-02-02T14:50:50Z</dcterms:created>
  <dcterms:modified xsi:type="dcterms:W3CDTF">2026-02-02T14:53:05Z</dcterms:modified>
</cp:coreProperties>
</file>