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eu\Dropbox\Documents 2026\_PR_26_006 HOT HOTEL CABAU AQUASOL\7.- PROJECTE LICITACIÓ Y EXECUTIU\1.- Documents\Amidaments\03_EDIFICI PPAL\"/>
    </mc:Choice>
  </mc:AlternateContent>
  <xr:revisionPtr revIDLastSave="0" documentId="13_ncr:1_{7EAD5DDC-0507-4942-8B0C-98F35E385E2F}" xr6:coauthVersionLast="47" xr6:coauthVersionMax="47" xr10:uidLastSave="{00000000-0000-0000-0000-000000000000}"/>
  <bookViews>
    <workbookView xWindow="-120" yWindow="-120" windowWidth="29040" windowHeight="17520" xr2:uid="{36F1A9B5-559D-419A-80E5-15D8AC30E0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1" i="1" l="1"/>
  <c r="F201" i="1"/>
  <c r="G167" i="1"/>
  <c r="G199" i="1"/>
  <c r="E167" i="1"/>
  <c r="F167" i="1"/>
  <c r="F199" i="1"/>
  <c r="G184" i="1"/>
  <c r="G197" i="1"/>
  <c r="E184" i="1"/>
  <c r="F184" i="1"/>
  <c r="F197" i="1"/>
  <c r="G195" i="1"/>
  <c r="G193" i="1"/>
  <c r="G191" i="1"/>
  <c r="G189" i="1"/>
  <c r="G187" i="1"/>
  <c r="G185" i="1"/>
  <c r="G182" i="1"/>
  <c r="G180" i="1"/>
  <c r="G173" i="1"/>
  <c r="G178" i="1"/>
  <c r="E173" i="1"/>
  <c r="F173" i="1"/>
  <c r="F178" i="1"/>
  <c r="G176" i="1"/>
  <c r="G174" i="1"/>
  <c r="G168" i="1"/>
  <c r="G171" i="1"/>
  <c r="E168" i="1"/>
  <c r="F168" i="1"/>
  <c r="F171" i="1"/>
  <c r="G169" i="1"/>
  <c r="G94" i="1"/>
  <c r="G165" i="1"/>
  <c r="E94" i="1"/>
  <c r="F94" i="1"/>
  <c r="F165" i="1"/>
  <c r="G154" i="1"/>
  <c r="G163" i="1"/>
  <c r="E154" i="1"/>
  <c r="F154" i="1"/>
  <c r="F163" i="1"/>
  <c r="G161" i="1"/>
  <c r="G159" i="1"/>
  <c r="G157" i="1"/>
  <c r="G155" i="1"/>
  <c r="G143" i="1"/>
  <c r="G152" i="1"/>
  <c r="E143" i="1"/>
  <c r="F143" i="1"/>
  <c r="F152" i="1"/>
  <c r="G150" i="1"/>
  <c r="G148" i="1"/>
  <c r="G146" i="1"/>
  <c r="G144" i="1"/>
  <c r="G114" i="1"/>
  <c r="G141" i="1"/>
  <c r="E114" i="1"/>
  <c r="F114" i="1"/>
  <c r="F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01" i="1"/>
  <c r="G112" i="1"/>
  <c r="E101" i="1"/>
  <c r="F101" i="1"/>
  <c r="F112" i="1"/>
  <c r="G110" i="1"/>
  <c r="G108" i="1"/>
  <c r="G106" i="1"/>
  <c r="G104" i="1"/>
  <c r="G102" i="1"/>
  <c r="G96" i="1"/>
  <c r="G99" i="1"/>
  <c r="E96" i="1"/>
  <c r="F96" i="1"/>
  <c r="F99" i="1"/>
  <c r="G97" i="1"/>
  <c r="G4" i="1"/>
  <c r="G92" i="1"/>
  <c r="E4" i="1"/>
  <c r="F4" i="1"/>
  <c r="F92" i="1"/>
  <c r="G69" i="1"/>
  <c r="G90" i="1"/>
  <c r="E69" i="1"/>
  <c r="F69" i="1"/>
  <c r="F90" i="1"/>
  <c r="G77" i="1"/>
  <c r="G88" i="1"/>
  <c r="E77" i="1"/>
  <c r="F77" i="1"/>
  <c r="F88" i="1"/>
  <c r="G86" i="1"/>
  <c r="G84" i="1"/>
  <c r="G82" i="1"/>
  <c r="G80" i="1"/>
  <c r="G78" i="1"/>
  <c r="G70" i="1"/>
  <c r="G75" i="1"/>
  <c r="E70" i="1"/>
  <c r="F70" i="1"/>
  <c r="F75" i="1"/>
  <c r="G73" i="1"/>
  <c r="G71" i="1"/>
  <c r="G5" i="1"/>
  <c r="G67" i="1"/>
  <c r="E5" i="1"/>
  <c r="F5" i="1"/>
  <c r="F67" i="1"/>
  <c r="G60" i="1"/>
  <c r="G65" i="1"/>
  <c r="E60" i="1"/>
  <c r="F60" i="1"/>
  <c r="F65" i="1"/>
  <c r="G63" i="1"/>
  <c r="G61" i="1"/>
  <c r="G17" i="1"/>
  <c r="G58" i="1"/>
  <c r="E17" i="1"/>
  <c r="F17" i="1"/>
  <c r="F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6" i="1"/>
  <c r="G15" i="1"/>
  <c r="E6" i="1"/>
  <c r="F6" i="1"/>
  <c r="F15" i="1"/>
  <c r="G13" i="1"/>
  <c r="G11" i="1"/>
  <c r="G9" i="1"/>
  <c r="G7" i="1"/>
</calcChain>
</file>

<file path=xl/sharedStrings.xml><?xml version="1.0" encoding="utf-8"?>
<sst xmlns="http://schemas.openxmlformats.org/spreadsheetml/2006/main" count="455" uniqueCount="250">
  <si>
    <t>Reforma y ampliación Hotel-apartamentos Aquasol</t>
  </si>
  <si>
    <t>Presupuesto</t>
  </si>
  <si>
    <t>Código</t>
  </si>
  <si>
    <t>Resumen</t>
  </si>
  <si>
    <t>ImpPres</t>
  </si>
  <si>
    <t>Nat</t>
  </si>
  <si>
    <t>Ud</t>
  </si>
  <si>
    <t>CanPres</t>
  </si>
  <si>
    <t>PrPres</t>
  </si>
  <si>
    <t xml:space="preserve">V            </t>
  </si>
  <si>
    <t>INSTALACIÓN DE VENTILACION</t>
  </si>
  <si>
    <t>Capítulo</t>
  </si>
  <si>
    <t>u</t>
  </si>
  <si>
    <t xml:space="preserve">VZZNN        </t>
  </si>
  <si>
    <t>ZONAS NOBLES</t>
  </si>
  <si>
    <t/>
  </si>
  <si>
    <t xml:space="preserve">VZZNN01      </t>
  </si>
  <si>
    <t>RECUPERADORES</t>
  </si>
  <si>
    <t>ORQ010H2BASF7</t>
  </si>
  <si>
    <t>RECUPERADOR DE CALOR CASALS OREQA 010 H2</t>
  </si>
  <si>
    <t>Partida</t>
  </si>
  <si>
    <t xml:space="preserve">Suministro y montaje de RECUPERADOR DE CALOR CASALS DE CONTRAFLUJO CON TECNOLOGÍA EC. DE BAJO PERFIL PARA FALSO TECHO, OREQA 010 H2 ISO ePM1&gt;=50%, ISO ePM1&gt;=50% (F7/F7) BASIC . CON BYPASS TOTAL AUTOMÁTICO. EFICIENCIA DE RECUPERACIÓN DE CALOR HASTA 83%.
Características:
- Estructura de acero galvanizado y carcasa exterior de paneles sandwich de 25mm de espesor, prelacada color RAL 9010.
- Paneles de doble pared aislado por espuma de poliuretano de densidad 40Kg/m³ para reducir las emisiones acústicas.
- Paneles de apertura fácil mediante bisagras para el mantenimiento de los filtros.
- Con bypass total (100%) automático y control electrónico con display avanzado. Incluye sonda de temperatura en impulsión y extracción.
- Modalidades de control, todos con protocolo de comunicación Modbus:
- Control BASIC
- Control EVO COP: para trabajar a presión constante
- Control EVO CAV: para trabajar a caudal constante
- Ventiladores centrífugos de bajo consumo con regulación independiente. Acoplados directamente a motores de tipo conmutado electrónicamente (EC brushless), regulados mediante señal modulante 0-10V.
- Funcionamiento compatible 50/60 Hz.
- Célula intercambiadora certificada según Eurovent. Conjunto inclinado para facilitar la descarga de condensados.
- Filtros ISO ePM1=50% (F7)/ISO ePM1 70% (F7) o ISO ePM1=50% + ISO ePM1=80%/ISO ePM1=50% (F7+F9/F7).
- Configuración horizontal.
Incluye: 
1 ud - SENSOR DE CO2, TEMPERATURA Y HUMEDAD RELATIVA PARA LA GESTIÓN DE LA CALIDAD DEL AIRE: CASALS SCO2 IAQ (SCO2)
Temperatura:
• Tipo sensor: NTC.
• Rango de medida: 0,0ºC a 50,0ºC.
• Vida sensor: &gt; 10 años.
Humedad relativa:
• Tipo sensor: Capacitivo con circuito electrónico integrado.
• Rango de medida: 0% a 100%.
• Vida sensor: &gt; 10 años.
CO2  (dióxido de carbono):
• Tipo sensor: NDIR (Non-Dispersive Infrared detector). Sensor dual.
• Rango de medida: 0ppm a 2000ppm.
• Vida sensor: &gt; 5 años.
• Nota: Sensores calibrados de fábrica. Función de calibración de los sensores CO2
FUNCIONES
• Función de control de la marcha/paro del purificador de aire/Ventilador mediante salida
digital por contacto de relé libre de tensión.
• Función de regulación sobre el CO2 de un ventilador con tecnología EC o una compuerta
con señal 0-10V.
• Programación Horaria y Diaria con dos intervalos de tiempo al día disponibles.
Medidas ambientales de temperatura, humedad relativa y CO2
•Salidas analógicas 0…10V para las medidas ambientales.
•CO2 Rango de medida: 0ppm a 2000ppm 0ppm:0,0V...2000ppm:10,0V
•Tensión eléctrica de alimentación: 100…250V
•Canal de comunicación serie Modbus para integración en sistemas centralizados (BMS).
•Montaje en ambiente interior.
Base de montaje preparada para caja universal de mecanismo.
•Facilidad de conexión: Plug &amp; Play
4 UD - BRIDA ANTIVIBRATORIA 400º/2H CASALS ACOPEL  F250-4 BA-400 25 (960002051)
CARACTERÍSTICAS CONSTRUCTIVAS
• Brida de acoplamiento flexible de poliuretano con tejido de fibra de vidrio para evitar
posibles vibraciones en la instalación.
• Ancho de 160 mm y suministrada con 2 abrazaderas de fijación.
• Clasificación al fuego: M0.
Totalmente montado, terminado y funcionando. 
</t>
  </si>
  <si>
    <t>ORQ030H2BASF7</t>
  </si>
  <si>
    <t>RECUPERADOR DE CALOR CASALS OREQA 030 H2</t>
  </si>
  <si>
    <t xml:space="preserve">Suministro y montaje de RECUPERADOR DE CALOR CASALS DE CONTRAFLUJO CON TECNOLOGÍA EC. DE BAJO PERFIL PARA FALSO TECHO,OREQA 030 H2 ISO ePM1&gt;=50%, ISO ePM1&gt;=50% (F7/F7) BASIC . CON BYPASS TOTAL AUTOMÁTICO. EFICIENCIA DE RECUPERACIÓN DE CALOR HASTA 83%.
Características:
- Estructura de acero galvanizado y carcasa exterior de paneles sandwich de 25mm de espesor, prelacada color RAL 9010.
- Paneles de doble pared aislado por espuma de poliuretano de densidad 40Kg/m³ para reducir las emisiones acústicas.
- Paneles de apertura fácil mediante bisagras para el mantenimiento de los filtros.
- Con bypass total (100%) automático y control electrónico con display avanzado. Incluye sonda de temperatura en impulsión y extracción.
- Modalidades de control, todos con protocolo de comunicación Modbus:
- Control BASIC
- Control EVO COP: para trabajar a presión constante
- Control EVO CAV: para trabajar a caudal constante
- Ventiladores centrífugos de bajo consumo con regulación independiente. Acoplados directamente a motores de tipo conmutado electrónicamente (EC brushless), regulados mediante señal modulante 0-10V.
- Funcionamiento compatible 50/60 Hz.
- Célula intercambiadora certificada según Eurovent. Conjunto inclinado para facilitar la descarga de condensados.
- Filtros ISO ePM1=50% (F7)/ISO ePM1 70% (F7) o ISO ePM1=50% + ISO ePM1=80%/ISO ePM1=50% (F7+F9/F7).
- Configuración horizontal.
Incluye: 
1 ud - SENSOR DE CO2, TEMPERATURA Y HUMEDAD RELATIVA PARA LA GESTIÓN DE LA CALIDAD DEL AIRE: CASALS SCO2 IAQ (SCO2)
Temperatura:
• Tipo sensor: NTC.
• Rango de medida: 0,0ºC a 50,0ºC.
• Vida sensor: &gt; 10 años.
Humedad relativa:
• Tipo sensor: Capacitivo con circuito electrónico integrado.
• Rango de medida: 0% a 100%.
• Vida sensor: &gt; 10 años.
CO2  (dióxido de carbono):
• Tipo sensor: NDIR (Non-Dispersive Infrared detector). Sensor dual.
• Rango de medida: 0ppm a 2000ppm.
• Vida sensor: &gt; 5 años.
• Nota: Sensores calibrados de fábrica. Función de calibración de los sensores CO2
FUNCIONES
• Función de control de la marcha/paro del purificador de aire/Ventilador mediante salida
digital por contacto de relé libre de tensión.
• Función de regulación sobre el CO2 de un ventilador con tecnología EC o una compuerta
con señal 0-10V.
• Programación Horaria y Diaria con dos intervalos de tiempo al día disponibles.
Medidas ambientales de temperatura, humedad relativa y CO2
•Salidas analógicas 0…10V para las medidas ambientales.
•CO2 Rango de medida: 0ppm a 2000ppm 0ppm:0,0V...2000ppm:10,0V
•Tensión eléctrica de alimentación: 100…250V
•Canal de comunicación serie Modbus para integración en sistemas centralizados (BMS).
•Montaje en ambiente interior.
Base de montaje preparada para caja universal de mecanismo.
•Facilidad de conexión: Plug &amp; Play
4 UD - BRIDA ANTIVIBRATORIA 400º/2H CASALS ACOPEL F400-4 BA-400 40 (960002054)
CARACTERÍSTICAS CONSTRUCTIVAS
• Brida de acoplamiento flexible de poliuretano con tejido de fibra de vidrio para evitar
posibles vibraciones en la instalación.
• Ancho de 160 mm y suministrada con 2 abrazaderas de fijación.
• Clasificación al fuego: M0.
Totalmente montado, terminado y funcionando. 
</t>
  </si>
  <si>
    <t xml:space="preserve">960025050    </t>
  </si>
  <si>
    <t>SILENCIADOR CIRCULAR CASALS SIL-C 250/500</t>
  </si>
  <si>
    <t xml:space="preserve">Suministro y montaje de SILENCIADOR CIRCULAR CASALS SIL-C 250/500 (960025050)
CARACTERÍSTICAS CONSTRUCTIVAS
• Válidos para montar en aspiración o impulsión en función del diámetro del tubo
correspondiente o bien adaptado al diámetro de una brida opcional. Preguntar a Casals
Ventilación.
• Carcasa de acero con espesor de 0,8mm para diámetros de hasta 1250mm; y 1mm
para diámetros superiores.
• Embocadura del silenciador con insertos roscados.
• Aislante acústico de lana de roca de 70Kg/m3 con malla metálica microperforada que
protege la fibra de vidrio de la erosión. Aislamiento resistente al fuego M0.
• Ensayo de atenuación realizado según la normativa ISO 7235.
• Taladros acorde a la normativa Eurovent.
• Los SIL-CN están dotados de un núcleo interior que aumenta la atenuación del
silenciador.
• Temperatura máxima de trabajo: 150ºC.
• Adecuado para presiones de hasta 1000Pa
APLICACIONES
• Para atenuación del nivel sonoro del ventilador.
• Para acoplar a ventiladores y tuberías circulares
Totalmente montado, terminado y funcionando. 
</t>
  </si>
  <si>
    <t xml:space="preserve">960040080    </t>
  </si>
  <si>
    <t>SILENCIADOR CIRCULAR CASALS SIL-C 400/800</t>
  </si>
  <si>
    <t xml:space="preserve">Suministro y montaje de SILENCIADOR CIRCULAR CASALS SIL-C 400/800 (960040080)
CARACTERÍSTICAS CONSTRUCTIVAS
• Válidos para montar en aspiración o impulsión en función del diámetro del tubo
correspondiente o bien adaptado al diámetro de una brida opcional. Preguntar a Casals
Ventilación.
• Carcasa de acero con espesor de 0,8mm para diámetros de hasta 1250mm; y 1mm
para diámetros superiores.
• Embocadura del silenciador con insertos roscados.
• Aislante acústico de lana de roca de 70Kg/m3 con malla metálica microperforada que
protege la fibra de vidrio de la erosión. Aislamiento resistente al fuego M0.
• Ensayo de atenuación realizado según la normativa ISO 7235.
• Taladros acorde a la normativa Eurovent.
• Los SIL-CN están dotados de un núcleo interior que aumenta la atenuación del
silenciador.
• Temperatura máxima de trabajo: 150ºC.
• Adecuado para presiones de hasta 1000Pa
APLICACIONES
• Para atenuación del nivel sonoro del ventilador.
• Para acoplar a ventiladores y tuberías circulares
Totalmente montado, terminado y funcionando. 
</t>
  </si>
  <si>
    <t>VZZNN01</t>
  </si>
  <si>
    <t xml:space="preserve">VZZNN02      </t>
  </si>
  <si>
    <t>RED DE DISTRIBUCIÓN</t>
  </si>
  <si>
    <t xml:space="preserve">160101ah     </t>
  </si>
  <si>
    <t>CONDUCTO CIRCULAR HELICOIDAL PARED SIMPLE Ø= 250 mm</t>
  </si>
  <si>
    <t>m</t>
  </si>
  <si>
    <t>Suministro e instalación de conducto circular de 250 mm de diámetro y 0,6 mm de espesor, de simple pared fabricado en chapa de acero galvanizado. Para instalaciones de ventilación y climatización. Incluso p/p de registros de inspección, soportes, gatillos, acoplamientos, pletinas y demás accesorios necesarios para su correcto funcionamiento. Totalmente montado, conexionado y comprobado según UNE-EN 12237.</t>
  </si>
  <si>
    <t xml:space="preserve">ISPVNETO     </t>
  </si>
  <si>
    <t>CONDUCTO AISLADO DE FIBRA E25</t>
  </si>
  <si>
    <t>m2</t>
  </si>
  <si>
    <t xml:space="preserve">Suministro e instalación de conducto rectangular a base de fibra de vidrio de 25 mm tipo CLIMAVER NETO o similar.Panel rígido de lana de vidrio ISOVER de alta densidad, revestido por la cara exterior con una lámina de aluminio reforzada con papel kraft y malla de vidrio, que actúa como barrera de vapor, y por su cara interior, con un tejido Neto de vidrio reforzado de color negro de gran resistencia mecánica. La velocidad máxima de aire en conductos será de 5 m/s. Con las siguientes características:
Conductividad térmica declarada: 0,033 W/m.k  s/ EN 12939
Reacción al fuego	Euroclase: B-s1, d0	EN 13501-1 EN 15715
Estanqueidad Clase	D s/ UNE-EN 13403 EN 12237
Resistencia a la presión 800 Pa s/ UNE-EN 13403
 Incluso p.p. de accesorios y elementos de soportacion. 
</t>
  </si>
  <si>
    <t xml:space="preserve">CXT315       </t>
  </si>
  <si>
    <t>REJILLA TAE CIRCULAR MADEL CXT Ø315mm</t>
  </si>
  <si>
    <t xml:space="preserve">Suministro e instalación de rejilla circular para toma de aire exterior con malla serie CXT (T) dim. 315mm , construida en aluminio y fijación con tornillos visibles. Marca MADEL. Incluye parte proporcional de accesorios, elementos mecánicos y material necesario para montaje, soporte, bancada silentblocs y sujeción. Totalmente montado, comprobado y funcionando.
</t>
  </si>
  <si>
    <t xml:space="preserve">DXT4020      </t>
  </si>
  <si>
    <t>REJILLA TAE RECTANGULAR MADEL DXT 400x200mm</t>
  </si>
  <si>
    <t xml:space="preserve">Suministro e instalación de rejilla rectangular para toma de aire exterior con malla serie DCT (T), de dimension 700x400mm , construida en aluminio y fijación con tornillos visibles. Marca MADEL. Incluye parte proporcional de accesorios, elementos mecánicos y material necesario para montaje, soporte, bancada silentblocs y sujeción. Totalmente montado, comprobado y funcionando.
</t>
  </si>
  <si>
    <t xml:space="preserve">DMTAR6030    </t>
  </si>
  <si>
    <t>REJILLA RETORNO MADEL DMT-AR 600x300</t>
  </si>
  <si>
    <t xml:space="preserve">Suministro e instalación de rejilla para retorno de aire con aletas fijas a 45º y paralelas a la cota mayor serie DMT-AR+CM (S) AA dim. 600x300, construida en aluminio y acabado anodizado, construido en acero electro-zincado lacado negro SP, fijación con clips (S) y marco de montaje CM. Marca MADEL. Incluye parte proporcional de accesorios, elementos mecánicos y material necesario para montaje, soporte, bancada silentblocs y sujeción. 
Totalmente montado, comprobado y funcionando.
</t>
  </si>
  <si>
    <t xml:space="preserve">DMTAR8025SP  </t>
  </si>
  <si>
    <t>Rejilla retorno MADEL DMT-AR+CM+SP S AA 800x250mm</t>
  </si>
  <si>
    <t xml:space="preserve">Suministro y colocación de retorno marca Madel modelo DMT-AR+CM AA con marco montaje, con regulador de caudal (SP)  de álabes opuestos, de dimensiones 800x250mm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</si>
  <si>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 xml:space="preserve">DMTAR3010SP  </t>
  </si>
  <si>
    <t>Rejilla retorno MADEL DMT-AR+CM+SP S AA 300x100mm</t>
  </si>
  <si>
    <t xml:space="preserve">Suministro y colocación de retorno marca Madel modelo DMT-AR+CM AA con marco montaje, con regulador de caudal (SP) de álabes opuestos, de dimensiones 300x100mm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</si>
  <si>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 xml:space="preserve">DXT70X40     </t>
  </si>
  <si>
    <t>Rejilla TAE MADEL DXT 700x400mm</t>
  </si>
  <si>
    <t xml:space="preserve">Suministro e instalación de rejilla TAE para exterior, Marca Madel modelo DXT, dimensiones 700X400mm , construida en aluminio. Incluso p.p. de accesorios y elementos de soportaje.
</t>
  </si>
  <si>
    <t xml:space="preserve">DXT30X20     </t>
  </si>
  <si>
    <t>Rejilla TAE MADEL DXT 300x200mm</t>
  </si>
  <si>
    <t xml:space="preserve">Suministro e instalación de rejilla TAE para exterior, Marca Madel modelo DXT, dimensiones 300X200mm , construida en aluminio. Incluso p.p. de accesorios y elementos de soportaje.
</t>
  </si>
  <si>
    <t xml:space="preserve">DMTAR8050SP  </t>
  </si>
  <si>
    <t>Rejilla retorno MADEL DMT-AR+CM+SP S AA 800x500mm</t>
  </si>
  <si>
    <t xml:space="preserve">Suministro y colocación de retorno marca Madel modelo DMT-AR+CM AA con marco montaje, con regulador de caudal (SP)  de álabes opuestos, de dimensiones 800x500mm (LxH) onstruida en aluminio y acabado anodizado AA, fijación con clips (S). Incluye parte proporcional de accesorios, elementos mecánicos y material necesario para montaje, soporte, bancada silentblocs y sujeción. Totalmente montado, comprobado y funcionando.
</t>
  </si>
  <si>
    <t xml:space="preserve">FOKEISM5030  </t>
  </si>
  <si>
    <t>Cortafuegos manual FOK-EIS-120-MA/PIF/ 500x300 MADEL</t>
  </si>
  <si>
    <t xml:space="preserve">Sum. y col. de compuerta cortafuegos clasificada EIS 120 según norma UNE-EN 1366-2 de la serie FOK-EIS-120-H-MA/PIF/ 500x300 para rearme manual,Marca MADEL.Contactos de inicio y final de carrera. Construido en acero galvanizado y material refractario. Fusible térmico a 72ºC. Con junta intumescente y otra de estanqueidad que impiden la propagación de humo frios. 
Con elementos necesarios para montaje. Incluso p.p. de accesorios y elementos de soportacion. 
Totalmente montado, comprobado y funcionando.
</t>
  </si>
  <si>
    <t xml:space="preserve">FOKEISM2010  </t>
  </si>
  <si>
    <t>Cortafuegos manual FOK-EIS-120-MA/PIF/ 200x100 MADEL</t>
  </si>
  <si>
    <t xml:space="preserve">Sum. y col. de compuerta cortafuegos clasificada EIS 120 según norma UNE-EN 1366-2 de la serie FOK-EIS-120-H-MA/PIF/ 200x100 para rearme manual,Marca MADEL.Contactos de inicio y final de carrera. Construido en acero galvanizado y material refractario. Fusible térmico a 72ºC. Con junta intumescente y otra de estanqueidad que impiden la propagación de humo frios. 
Con elementos necesarios para montaje. Incluso p.p. de accesorios y elementos de soportacion. 
Totalmente montado, comprobado y funcionando.
</t>
  </si>
  <si>
    <t>LMTMINI20X75S</t>
  </si>
  <si>
    <t>REJILLA MADEL LMT MIINI+SP 200x75mm</t>
  </si>
  <si>
    <t xml:space="preserve">Suministro y colocación de rejilla marca Madel modelo LMT MINI con marco reducido de 12mm, de dimensiones 200x75mm (LxH) acabado M9016, con regulador de caudal SP, ángulos de remate y aletas fijas a 0º. Incluye parte proporcional de accesorios, elementos mecánicos y material necesario para montaje, soporte, bancada silentblocs y sujeción. Totalmente montado, comprobado y funcionando.
</t>
  </si>
  <si>
    <t>LMTMINI25X10S</t>
  </si>
  <si>
    <t>REJILLA MADEL LMT MIINI+SP 250x100mm</t>
  </si>
  <si>
    <t xml:space="preserve">Suministro y colocación de rejilla marca Madel modelo LMT MINI con marco reducido de 12mm, de dimensiones 250x100mm (LxH) acabado M9016, con regulador de caudal SP, ángulos de remate y aletas fijas a 0º. Incluye parte proporcional de accesorios, elementos mecánicos y material necesario para montaje, soporte, bancada silentblocs y sujeción. Totalmente montado, comprobado y funcionando.
</t>
  </si>
  <si>
    <t xml:space="preserve">EMBCFCJ02    </t>
  </si>
  <si>
    <t>Embocaduras conducto-Recuperador</t>
  </si>
  <si>
    <t xml:space="preserve">Embocadura de conducto a recuperador. Incluso pp de accesorios y material para su montaje y soportación.
</t>
  </si>
  <si>
    <t xml:space="preserve">EMBCREJ02    </t>
  </si>
  <si>
    <t>Embocadura conducto a bocas de extracción o retorno</t>
  </si>
  <si>
    <t xml:space="preserve">Embocadura de conducto a bocas de extraccion o retorno. Incluso pp de accesorios y material para su montaje y soportación.
</t>
  </si>
  <si>
    <t xml:space="preserve">SKC-RMA2015  </t>
  </si>
  <si>
    <t>COMPUERTA DE CAUDAL CONSTANTE MADEL SKC-R/MA 250x200mm</t>
  </si>
  <si>
    <t xml:space="preserve">Suministro e instalación de Compuerta rectangular con mecanismo manual para fijar un caudal determinado (configuración standard de fábrica 576 m3/h) con sistema autorregulable y con ajuste de caudal obra Marca Madel modelo SKC-R/MA 200x150mm. Construida en acero galvanizado para conexión a conducto rectangiular. Incluso p.p. de accesorios, acoplamiento para conducto rectangular y elementos de soportaje.
</t>
  </si>
  <si>
    <t>SA-SIF32REGEM</t>
  </si>
  <si>
    <t>Sifón A.A. DN32 registrable, empotrado en caja</t>
  </si>
  <si>
    <t xml:space="preserve">Suministro e instalación de sifon registrable para Aire Acondicionado, además de caja empotrable para registro del sifón, con tapa y tornillos, de medidas 204x239x57mm., de la marca WURTH o similar. Incluso parte proporcional de tubería de PVC DN32, conexionado, diluyente, limpiador, adhesivo, abrazaderas, piezas especiales, accesorios y material auxiliar necesario para montaje, soporte y sujeción.
</t>
  </si>
  <si>
    <t xml:space="preserve">SA-PVC32     </t>
  </si>
  <si>
    <t>Tubería PVC 32 mm, conducción condensados</t>
  </si>
  <si>
    <t>ml</t>
  </si>
  <si>
    <t xml:space="preserve">Suministro e instalación de tubería de desagüe condensados, de PVC-U de 32 mm. de diámetro exterior. Incluso conexionado a bandeja de fancoil, sifón registrable y a bajante de aguas residuales, diluyente, limpiador, adhesivo, abrazaderas, piezas especiales, accesorios y material auxiliar necesario para montaje, soporte y sujeción.
</t>
  </si>
  <si>
    <t>INJ. DES COND</t>
  </si>
  <si>
    <t>Formación "injerto" conexión desagüe condensados</t>
  </si>
  <si>
    <t xml:space="preserve">Formación de injerto a bajante de aguas fecales, para permitir la conducción de las aguas de condensados provenientes de las unidades de climatización.
</t>
  </si>
  <si>
    <t>VZZNN02</t>
  </si>
  <si>
    <t xml:space="preserve">VZZNN03      </t>
  </si>
  <si>
    <t>PRUEBAS, ENSAYOS Y DOCUMENTACIÓN</t>
  </si>
  <si>
    <t>ud.</t>
  </si>
  <si>
    <t xml:space="preserve">CLIMV        </t>
  </si>
  <si>
    <t>Puesta en marcha de la instalación</t>
  </si>
  <si>
    <t>Ud.</t>
  </si>
  <si>
    <t xml:space="preserve">Puesta en marcha de la instalación de ventilación en régimen de funcionamiento definitivo. Ajuste de los parámetros de funcionamiento, presiones, consumos, temporizaciones, horarios, rejas de impulsión/aspiración, regulación automática. Incluso entrega de actas de pruebas y ensayos. 
</t>
  </si>
  <si>
    <t xml:space="preserve">as-built-V   </t>
  </si>
  <si>
    <t>Documentación necesaria para tramitación en la DGI</t>
  </si>
  <si>
    <t>Realización y entrega, en formato electrónico y papel, de documentación detallada normalizada para la obtención de la puesta en servicio de la instalación por parte de la DGI.</t>
  </si>
  <si>
    <t>VZZNN03</t>
  </si>
  <si>
    <t>VZZNN</t>
  </si>
  <si>
    <t xml:space="preserve">VLAV         </t>
  </si>
  <si>
    <t>LAVANDERIA</t>
  </si>
  <si>
    <t xml:space="preserve">VLAV01       </t>
  </si>
  <si>
    <t>EXTRACTOR</t>
  </si>
  <si>
    <t xml:space="preserve">PSOD1129399  </t>
  </si>
  <si>
    <t>EXTRACTOR CIRCULAR EN LINEA SODECA CA/LINE/EC-16</t>
  </si>
  <si>
    <t xml:space="preserve">Suministro e instalacion de extractor circular en linea Sodeca Mod. CA/LINE/EC-16, de caracteristicas:
Ventilador:
• Envolvente en chapa de acero.
• Caja de bornes externa.
• Instalación rápida y sencilla.
• Pie soporte incluido.
• Turbina a reacción.
Motor:
• Motores EC Technology de alta eficiencia, rotor exterior y regulables mediante 0-10 V.
• Motor con rodamientos a bolas de larga duración. Protección IP44.
• Monofásico 220-240 V 50/60 Hz.
• Temperatura de trabajo: -25 ºC +60 ºC.
• Velocidad ajustable mediante señal 0-10 V.
• Modbus RTU y relé de alarma incorporados (modelos 35 y 40).
Acabado:
• Anticorrosivo en resina de poliéster polimerizada a 190 ºC, previo desengrase con tratamiento nanotecnológico libre de fosfatos.
 Incluye parte proporcional de accesorios, elementos mecánicos y material necesario para montaje, soporte, bancada silentblocs y sujeción. Totalmente montado, comprobado y funcionando.
</t>
  </si>
  <si>
    <t xml:space="preserve">1024172      </t>
  </si>
  <si>
    <t>REGULADOR DE VELOCIDAD MTP - REF. 1024172 - SODECA</t>
  </si>
  <si>
    <t xml:space="preserve">Suministro y montaje de regulador de velocidad MTP Marca SODECA - Ref. 1024172.
Características:
. Potenciómetro para el control de velocidad de ventiladores equipados con motor brushless 0-10 VDC.
. Entrega una tensión entre 0 y 10 VDC de una forma progresiva.
. Puede usarse como un interruptor.
. Cuerpo resistente a humedad.
. Posibilidad de montaje en superficie o empotrado.
Totalmente montado, terminado y funcionando.
</t>
  </si>
  <si>
    <t>VLAV01</t>
  </si>
  <si>
    <t xml:space="preserve">VLAV02       </t>
  </si>
  <si>
    <t xml:space="preserve">COND70X25    </t>
  </si>
  <si>
    <t>CONDUCTO RECTANGULAR DE CHAPA GALVANIZADA</t>
  </si>
  <si>
    <t xml:space="preserve">Suministro e instalación de conducto rectangular de chapa galvanizada de 0,7mm de espesorl. Incluso conexionado a red y pp de accesorios y material necesario para su ejecución y soportación.
</t>
  </si>
  <si>
    <t xml:space="preserve">SA-CEPVC160  </t>
  </si>
  <si>
    <t>Tuberia ventilación PVC ø160mm</t>
  </si>
  <si>
    <t xml:space="preserve">Suministro y montaje de tubo de PVC liso de 160mm de diámetro y 3.9mm de espesor, fabricada según UNE-EN 1401-1; para ventilación, con unión mediante junta pegada: incluso p/p de cortes y sellado de juntas con cinta autoadhesiva, piezas especiales, accesorios y material auxiliar necesario para montaje, soporte y sujeción. Totalmente montado, conexionado y probado.
</t>
  </si>
  <si>
    <t xml:space="preserve">DMTAR3015    </t>
  </si>
  <si>
    <t>REJILLA RETORNO MADEL DMT-AR 300x150</t>
  </si>
  <si>
    <t xml:space="preserve">Suministro e instalación de rejilla para retorno de aire con aletas fijas a 45º y paralelas a la cota mayor serie DMT-AR+CM (S) AA dim. 300x150, construida en aluminio y acabado anodizado, construido en acero electro-zincado lacado negro SP, fijación con clips (S) y marco de montaje CM. Marca MADEL. Incluye parte proporcional de accesorios, elementos mecánicos y material necesario para montaje, soporte, bancada silentblocs y sujeción. 
Totalmente montado, comprobado y funcionando.
</t>
  </si>
  <si>
    <t xml:space="preserve">EMBCREJ01    </t>
  </si>
  <si>
    <t>Embocadura conducto a rejilla aportacion</t>
  </si>
  <si>
    <t>Embocadura de conducto a rejilla de impulsión o retorno. Incluso pp de accesorios y material para su montaje y soportación.</t>
  </si>
  <si>
    <t xml:space="preserve">EMBCFCJ04    </t>
  </si>
  <si>
    <t>Embocaduras caja ventilacion / extractor</t>
  </si>
  <si>
    <t xml:space="preserve">Embocadura de conducto a caja ventilacion / extractor. Incluso pp de accesorios y material para su montaje y soportación.
</t>
  </si>
  <si>
    <t>VLAV02</t>
  </si>
  <si>
    <t>VLAV</t>
  </si>
  <si>
    <t>V</t>
  </si>
  <si>
    <t>AA_LAVANDERIA</t>
  </si>
  <si>
    <t>INSTALACIÓN DE CLIMATIZACIÓN LAVANDERIA</t>
  </si>
  <si>
    <t xml:space="preserve">AA_LAVAND_01 </t>
  </si>
  <si>
    <t>ACTUACIONES PREVIAS</t>
  </si>
  <si>
    <t xml:space="preserve">DESMCLHT     </t>
  </si>
  <si>
    <t>DESMONTAJE DE INSTALACION EXISTENTE</t>
  </si>
  <si>
    <t xml:space="preserve">Desmontaje de equipòs frigorificos partidos existentes, incluso tuberias frigorificas, soportaciones e instalacion eléctrica asociada
</t>
  </si>
  <si>
    <t>AA_LAVAND_01</t>
  </si>
  <si>
    <t xml:space="preserve">AA_LAVAND_02 </t>
  </si>
  <si>
    <t>MAQUINARIA</t>
  </si>
  <si>
    <t xml:space="preserve">FCZP400BCPO  </t>
  </si>
  <si>
    <t>FAN COIL 2 TUBOS FCZ-PO-400-BC PO</t>
  </si>
  <si>
    <t xml:space="preserve">Suministro e instalación de fan coil 1 bateria de intercambio de calor, formada por serpentín de cobre con aletas de aluminio y ventilador centrífugo con 3 velocidades potenciado, aislamiento interior y filtro. Unidad de alto rendimiento térmico, bajo consumo y baja sonoridad. Con bandeja de recogia de condensados ampliada, reforzada y aislada, con las siguientes características:
- Marca: AIRLAN
- Tipo: TECHO.
- Envolvente: SÍN
- Modelo: FCZ-PO-400 BC PO
- Capacidad frigorífica: 3.410 W (7-12ºC)
- Capacidad calorífica:  3.350 W (45-40ºC)
- Caudal de Aire(Max/Med/Min): 559/487/346 m3/h
- Dimensiones (Ancho x Largo x Alto): 1.013x453x216mm
Incluso medios de transporte y elevación, pp de accesorios y elementos necesarios para su conexión hidraulica y eléctrica, montaje y soportación. Conexionado hidraulico y eléctrico incluido.
Totalmente instalada y funcionando.
</t>
  </si>
  <si>
    <t xml:space="preserve">FCL32        </t>
  </si>
  <si>
    <t>FAN COIL CASSETTE AIRLAN FCL32</t>
  </si>
  <si>
    <t>ud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</si>
  <si>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FCL32
- Capacidad frigorífica: 1,90 W (7-12ºC)
- Capacidad calorífica:  1,99 W (45-40ºC)
- Caudal de Aire(Max/Med/Min): 600/410/300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</si>
  <si>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 xml:space="preserve">FCL36        </t>
  </si>
  <si>
    <t>FAN COIL CASSETTE AIRLAN FCL36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</si>
  <si>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FCL36
- Capacidad frigorífica: 3.00 W (7-12ºC)
- Capacidad calorífica:  3.12 W (45-40ºC)
- Caudal de Aire(Max/Med/Min): 600/410/300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</si>
  <si>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 xml:space="preserve">FCL42        </t>
  </si>
  <si>
    <t>FAN COIL CASSETTE AIRLAN FCL42</t>
  </si>
  <si>
    <t xml:space="preserve">Suministro e instalación de fan coil tipo cassette con1 bateria de intercambio de calor, formada por serpentín de cobre con aletas de aluminio y ventilador centrífugo con 3 velocidades. Unidad de alto rendimiento térmico, bajo consumo y baja sonoridad. Con bandeja de recogia de condensados ampliada, reforzada y aislada, con las siguientes características:
- Marca: AIRLAN
- Tipo: CASSETTE
- Modelo: FCL42
- Capacidad frigorífica: 3,95 W (7-12ºC)
- Capacidad calorífica:  3,65 W (45-40ºC)
- Caudal de Aire(Max/Med/Min): 700/360/260 m3/h
- Dimensiones unidad sin carcasa (Ancho x Largo x Alto):587x587x298mm
- Dimensiones con carcasa (Ancho x Largo x Alto): 754x754x362mm
Incluso medios de transporte y elevación, pp de accesorios y elementos necesarios para su conexión hidraulica y eléctrica, montaje y soportación. Conexionado hidraulico y eléctrico incluido.
Totalmente instalada y funcionando.
</t>
  </si>
  <si>
    <t xml:space="preserve">MTT          </t>
  </si>
  <si>
    <t>MONTAJE TERMOSTATO</t>
  </si>
  <si>
    <t xml:space="preserve">Instalación de termostato a suministrar por la propiedad, incluso soportación y conexionado.
</t>
  </si>
  <si>
    <t>AA_LAVAND_02</t>
  </si>
  <si>
    <t xml:space="preserve">AA_LAVAND_03 </t>
  </si>
  <si>
    <t>TUBERÍA, VALVULERÍA, INTERCONEXIÓN Y AISLAMIENTO</t>
  </si>
  <si>
    <t xml:space="preserve">CZCCLD25     </t>
  </si>
  <si>
    <t>TUBERIA PP-R 100 NIRON CLIMA D25x3,5mm</t>
  </si>
  <si>
    <t xml:space="preserve">Suministro e instalación de tuberia de polipropileno multicapa  25x3,5mm. Fabricada según Norma UNE-EN 12201, PN16 SDR11/S5. Marca Niron Clima. Incluso p.p. de accesorios y elementos de soportaje. 
</t>
  </si>
  <si>
    <t xml:space="preserve">CzCCLd32     </t>
  </si>
  <si>
    <t>TUBERIA PP-R 100 NIRON CLIMA 32x2,9mm</t>
  </si>
  <si>
    <t xml:space="preserve">Suministro y montaje de tubo compuesto de polipropileno copolímero random PP-R 100 con fibra de vidrio (1/4)PP-R // (2/4)PP-R+FV // (1/4)PP-R, SDR 7.4 serie 3.2, de diámetro 32 mm y 2,9 mm de espesor. Tubería fabricada y certificada según Reglamento Particular de Aenor RP 01.72, accesorios fabricados y certificados según norma UNE EN 15874-3 y sistema de unión por termofusión, inserciones incorporadas y electrofusión certificado según RP 01.72. Certificado de potabilidad Aimplas según RD 140/2003. Incluida p/p de accesorios y material auxiliar para montaje y sujeción para uso en instalaciones de climatización (sistemas agua/agua, agua/aire) con temperaturas comprendidas entre -15 °C y 70 °C. Instalado con abrazaderas isofónicas Niron de goma lisa, según norma UNE EN 806-4. Presentación en barra de 4 m, color azul Niron con banda azul Niron Clima, ref. TNIRCL2074 de la serie Niron de ITALSAN o similar equivalente.
</t>
  </si>
  <si>
    <t xml:space="preserve">AISD25X25MM  </t>
  </si>
  <si>
    <t>COQUILLA DE ESPUMA ELASTOMERICA D25 e25mm</t>
  </si>
  <si>
    <t xml:space="preserve">Suministro y montaje de aislamiento térmico flexible de célula cerrada para tuberías de plástico de diámetro exterior 25 mm 25 mm espesor a base de coquilla de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 para (lambda) 10ºC = 0,04 W/(m·K), incluso pegado de uniones, parte proporcional de elementos singulares, soportes Armafix AF, y accesorios para su correcta instalación o similar quivalente. Incluso pp de accesorios y material necesario para su montaje, conexionado y soportación.
</t>
  </si>
  <si>
    <t xml:space="preserve">ED32-25      </t>
  </si>
  <si>
    <t>COQUILLA DE ESPUMA ELASTOMERICA D32 e25mm</t>
  </si>
  <si>
    <t xml:space="preserve">Suministro y montaje de aislamiento térmico flexible de célula cerrada para tuberías de plástico de diámetro exterior 32 mm 25 mm espesor a base de coquilla de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 para (lambda) 10ºC = 0,04 W/(m·K), incluso pegado de uniones, parte proporcional de elementos singulares, soportes Armafix AF, y accesorios para su correcta instalación o similar quivalente. Incluso pp de accesorios y material necesario para su montaje, conexionado y soportación.
</t>
  </si>
  <si>
    <t xml:space="preserve">AISLVALV     </t>
  </si>
  <si>
    <t>AISLAMIENTO DE VALVULERIA Y EQUIPOS</t>
  </si>
  <si>
    <t xml:space="preserve">Suministro y montaje de aislamiento térmico de valvuleria mediante espuma elastomérica flexible (FEF) AF/Armaflex®, con protección antimicrobiana Microban® incorporada y declaración ambiental de producto tipo III (EPD), factor de resistencia a la difusión del vapor de agua (µ) = 10.000, conductividad térmica (lambda) 10ºC = 0,034 W/(m·K), clasificación al fuego BL-s3,d0, de espesor 30 mm según RITE, incluso pegado de uniones, parte proporcional de elementos singulares, soportes Armafix AF, y accesorios para su correcta instalación o similar quivalente.
</t>
  </si>
  <si>
    <t xml:space="preserve">FVALBO34     </t>
  </si>
  <si>
    <t>VALVULA DE ESFERA DE ø3/4"</t>
  </si>
  <si>
    <t xml:space="preserve">Suministro y colocación de válvula de esfera de 3/4" de diámetro H-H con maneta de palanca, con cuerpo de latón cromado CW617N, bola de latón cromado pulido, anillos de cierre de Teflón, eje de latón estampado y maneta de acero plastificado, Tªmin=-20ºC, Tª max=150ºC, Pmax=25bar, marca Sei codigo AA03801 o similar equivalente. Incluso accesorios y parte proporcional de elementos mecanicos y material auxiliar necesarios para montaje, conexionado, soporte y sujeción.
</t>
  </si>
  <si>
    <t xml:space="preserve">FVALBO1      </t>
  </si>
  <si>
    <t>VALVULA DE ESFERA DE ø1"</t>
  </si>
  <si>
    <t>Suministro y colocación de válvula de esfera de 1 1/2" de diámetro H-H con maneta de palanca, con cuerpo de latón cromado CW617N, bola de latón cromado pulido, anillos de cierre de Teflón, eje de latón estampado y maneta de acero plastificado, Tªmin=-20ºC, Tª max=150ºC, Pmax=25bar, marca Sei codigo AA03801 o similar equivalente. Incluso accesorios y parte proporcional de elementos mecanicos y material auxiliar necesarios para montaje, conexionado, soporte y sujeción.</t>
  </si>
  <si>
    <t xml:space="preserve">FVALBO112    </t>
  </si>
  <si>
    <t>VALVULA DE ESFERA DE ø1 1/2"</t>
  </si>
  <si>
    <t xml:space="preserve">Suministro y colocación de válvula de esfera de 1 1/2" de diámetro, con cuerpo de latón cromado. Incluso marcas rojas o azules, accesorios y parte proporcional de elementos mecanicos y material auxiliar necesarios para montaje, conexionado, soporte y sujeción.
</t>
  </si>
  <si>
    <t xml:space="preserve">AC01024      </t>
  </si>
  <si>
    <t>PURGADOR AUTOMATICO DE 1/2"</t>
  </si>
  <si>
    <t xml:space="preserve">Suministro e instalación de Purgador automático de aire SEI de SALVADOR ESCODA ref. AC01024 o similar equivalente. Temperatura 0º C +110 Cº, presión máx. 10 bar, dimensiones 1/2", incluso valvula de bola de latón 1/2" y tuberia aislada D20mm. Incluso pp de accesorios, valvulería y elementos necesarios para su montaje y conexión.
</t>
  </si>
  <si>
    <t xml:space="preserve">FILTRO112    </t>
  </si>
  <si>
    <t>FILTRO Y  ø1 12" paso filtro 0,5mm</t>
  </si>
  <si>
    <t xml:space="preserve">Suministro y colocación de filtro Y 1 1/2" de diámetro, con cuerpo de fundición gris EN-GJL-250 con recubrimiento epoxi, tamiz de acero inoxidable AISI-1.431 de 0,5mm de diámetro de paso, montaje mediante bridas PN-16, Tª max=120ºC, Pmáx=16 bar. Incluso accesorios y parte proporcional de elementos mecanicos y material auxiliar necesarios para montaje, conexionado, soporte y sujeción.
</t>
  </si>
  <si>
    <t xml:space="preserve">FILTRO2      </t>
  </si>
  <si>
    <t>FILTRO Y CON BRIDAS ø2" paso filtro 0,5mm</t>
  </si>
  <si>
    <t>Suministro y colocación de filtro Y con bridas de 2" de diámetro, con cuerpo de fundición gris EN-GJL-250 con recubrimiento epoxi, tamiz de acero inoxidable AISI-1.431 de 0,5mm de diámetro de paso, montaje mediante bridas PN-16, Tª max=120ºC, Pmáx=16 bar. Incluso accesorios y parte proporcional de elementos mecanicos y material auxiliar necesarios para montaje, conexionado, soporte y sujeción.</t>
  </si>
  <si>
    <t xml:space="preserve">ABQM40F34    </t>
  </si>
  <si>
    <t>KIT DE VALVULAS DANFOSS AB-QM 4.0 FLEXO 15 HF</t>
  </si>
  <si>
    <t xml:space="preserve">Suministro y montaje de Kit de valvulas de equilibrado y control independiente de la presión DANFOSS AB-QM 4.0 Flexo 80 DN20 
 Incluso marcas rojas o azules, accesorios y parte proporcional de elementos mecanicos y material auxiliar necesarios para montaje, conexionado, soporte y sujeción.
</t>
  </si>
  <si>
    <t xml:space="preserve">ABQM40FBP34  </t>
  </si>
  <si>
    <t>KIT DE VALVULAS DANFOSS AB-QM 4.0 FLEXO + BY PASS</t>
  </si>
  <si>
    <t xml:space="preserve">Suministro y montaje de Kit de valvulas de equilibrado y control independiente de la presión DANFOSS AB-QM 4.0 Flexo 80 DN20 con by-pass formado por válvula de presión diferencial (ref. 003L6020) y válvula de equilibrado (REF. 003Z8302).
Incluso marcas rojas o azules, accesorios y parte proporcional de elementos mecanicos y material auxiliar necesarios para montaje, conexionado, soporte y sujeción.
</t>
  </si>
  <si>
    <t>AA_LAVAND_03</t>
  </si>
  <si>
    <t xml:space="preserve">AA_LAVAND_04 </t>
  </si>
  <si>
    <t>DESAGÜES DE CONDENSADOS</t>
  </si>
  <si>
    <t xml:space="preserve">VACIADD32    </t>
  </si>
  <si>
    <t>VACIADO 1 1/4"</t>
  </si>
  <si>
    <t xml:space="preserve">Suministro e instalación de vaciado mediante conexión a tubería mediante válvula de bola de latón de 1 1/4", 5 ml de tubería de PVC D40mm y conexionado a desague. Incluso pp de accesorios y material necesario para su montaje, conexionado y soportación.
</t>
  </si>
  <si>
    <t>AA_LAVAND_04</t>
  </si>
  <si>
    <t xml:space="preserve">AA_LAVAND_05 </t>
  </si>
  <si>
    <t>DIFUSION DE AIRE</t>
  </si>
  <si>
    <t xml:space="preserve">EMBCFCJ01    </t>
  </si>
  <si>
    <t>Embocaduras conducto-fancoil</t>
  </si>
  <si>
    <t>Embocadura de conducto a fan-coil. Incluso pp de accesorios y material para su montaje y soportación.</t>
  </si>
  <si>
    <t>AA_LAVAND_05</t>
  </si>
  <si>
    <t xml:space="preserve">AA_DESP      </t>
  </si>
  <si>
    <t>INSTALACIÓN DE CLIMATIZACIÓN DESPACHOS</t>
  </si>
  <si>
    <t xml:space="preserve">AA_DESP_01   </t>
  </si>
  <si>
    <t>AA_DESP_01</t>
  </si>
  <si>
    <t xml:space="preserve">AA_DESP_02   </t>
  </si>
  <si>
    <t xml:space="preserve">FWM35DAT     </t>
  </si>
  <si>
    <t>FAN COIL TECHO DAIKIN FC FWM35 DAT</t>
  </si>
  <si>
    <t xml:space="preserve">FWM25DAT     </t>
  </si>
  <si>
    <t>FAN COIL TECHO DAIKIN FC FWM25 DAT</t>
  </si>
  <si>
    <t xml:space="preserve">Suministro e instalación de fan coil 1 bateria de intercambio de calor, formada por serpentín de cobre con aletas de aluminio y ventilador centrífugo con 3 velocidades potenciado, aislamiento interior y filtro. Unidad de alto rendimiento térmico, bajo consumo y baja sonoridad. Con bandeja de recogia de condensados ampliada, reforzada y aislada, con las siguientes características:
- Marca: DAIKIN
- Tipo: TECHO.
- Envolvente: SÍN
- Modelo: FWM25 DAT
- Capacidad frigorífica: 2.380 W (7-12ºC)
- Capacidad calorífica:  2.680 W (45-40ºC)
- Caudal de Aire(Max/Med/Min): 442/341/241 m3/h
- Dimensiones (Ancho x Largo x Alto): 1794x535x224mm
Incluso medios de transporte y elevación, pp de accesorios y elementos necesarios para su conexión hidraulica y eléctrica, montaje y soportación. Conexionado hidraulico y eléctrico incluido.
Totalmente instalada y funcionando.
</t>
  </si>
  <si>
    <t>AA_DESP_02</t>
  </si>
  <si>
    <t xml:space="preserve">AA_DESP_03   </t>
  </si>
  <si>
    <t xml:space="preserve">EN MEDICIÓN ED. PRIINCIPAL
</t>
  </si>
  <si>
    <t xml:space="preserve">AA_DESP_04   </t>
  </si>
  <si>
    <t xml:space="preserve">EN MEDICIÓN ED. PRIINCIPAL
</t>
  </si>
  <si>
    <t xml:space="preserve">AA_DESP_05   </t>
  </si>
  <si>
    <t xml:space="preserve">CFLEX80      </t>
  </si>
  <si>
    <t>CONDUCTO CIRCULAR FLEXIBLE D250mm AISLADO</t>
  </si>
  <si>
    <t xml:space="preserve">Suministro e instalación de red de tubos flexibles de distribución de aire, constituida por tubo flexible de 250 mm de diámetro interior y 300mm exterior, con aislmiento de fibra de vidrio de 25mm, , obtenido como resultado de enrollar en hélice, con espiral de alambre, bandas de aluminio y poliéster; incluso cinta de aluminio y elementos de fijación con una separación máxima de 1,50 m. Totalmente montada, conexionada y probada.
</t>
  </si>
  <si>
    <t xml:space="preserve">160101aI     </t>
  </si>
  <si>
    <t>CONDUCTO CIRCULAR HELICOIDAL PARED SIMPLE Ø= 300 mm</t>
  </si>
  <si>
    <t xml:space="preserve">Suministro e instalación de conducto circular de 300mm de diámetro y 0,6 mm de espesor, de simple pared fabricado en chapa de acero galvanizado. Para instalaciones de ventilación y climatización. Incluso p/p de registros de inspección, soportes, gatillos, acoplamientos, pletinas y demás accesorios necesarios para su correcto funcionamiento. Totalmente montado, conexionado y comprobado según UNE-EN 12237.
</t>
  </si>
  <si>
    <t>LMT-MINI10X10</t>
  </si>
  <si>
    <t>Rejilla MADEL LMT MINI 1000x100mm</t>
  </si>
  <si>
    <t xml:space="preserve">Suministro y colocación de rejilla marca Madel modelo LMT MINI con marco reducido de 12mm, de dimensiones 1.000x100mm (LxH) acabado M9016, con angulos de remate y aletas fijas a 0º. Incluye parte proporcional de accesorios, elementos mecánicos y material necesario para montaje, soporte, bancada silentblocs y sujeción. 
Totalmente montado, comprobado y funcionando.
</t>
  </si>
  <si>
    <t>AA_DESP_05</t>
  </si>
  <si>
    <t>AA_DESP</t>
  </si>
  <si>
    <t>HEP</t>
  </si>
  <si>
    <t>Suministro e instalación de fan coil 1 bateria de intercambio de calor, formada por serpentín de cobre con aletas de aluminio y ventilador centrífugo con 3 velocidades potenciado, aislamiento interior y filtro. Unidad de alto rendimiento térmico, bajo consumo y baja sonoridad. Con bandeja de recogia de condensados ampliada, reforzada y aislada, con las siguientes características:
- Marca: DAIKIN
- Tipo: TECHO.
- Envolvente: SÍN
- Modelo: FC FWM35 DAT
- Capacidad frigorífica: 2.630 W (7-12ºC)
- Capacidad calorífica:  3.690 W (45-40ºC)
- Caudal de Aire(Max/Med/Min): 640/450/320 m3/h
- Dimensiones (Ancho x Largo x Alto): 1.004x535x224 mm
Incluso medios de transporte y elevación, pp de accesorios y elementos necesarios para su conexión hidraulica y eléctrica, montaje y soportación. Conexionado hidraulico y eléctrico incluido.
Totalmente instalada y funcionando.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</si>
</sst>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49" fontId="4" fillId="3" borderId="0" xfId="0" applyNumberFormat="1" applyFont="1" applyFill="1" applyAlignment="1">
      <alignment vertical="top"/>
    </xf>
    <xf numFmtId="3" fontId="4" fillId="2" borderId="0" xfId="0" applyNumberFormat="1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49" fontId="4" fillId="4" borderId="0" xfId="0" applyNumberFormat="1" applyFont="1" applyFill="1" applyAlignment="1">
      <alignment vertical="top"/>
    </xf>
    <xf numFmtId="49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/>
    </xf>
    <xf numFmtId="3" fontId="3" fillId="0" borderId="0" xfId="0" applyNumberFormat="1" applyFont="1" applyAlignment="1">
      <alignment vertical="top"/>
    </xf>
    <xf numFmtId="4" fontId="4" fillId="4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DA79-110B-4ECE-A5F3-7A546CEECD3B}">
  <dimension ref="A1:G202"/>
  <sheetViews>
    <sheetView tabSelected="1" workbookViewId="0">
      <pane xSplit="4" ySplit="3" topLeftCell="E147" activePane="bottomRight" state="frozen"/>
      <selection pane="topRight" activeCell="E1" sqref="E1"/>
      <selection pane="bottomLeft" activeCell="A4" sqref="A4"/>
      <selection pane="bottomRight" activeCell="D176" sqref="D176"/>
    </sheetView>
  </sheetViews>
  <sheetFormatPr baseColWidth="10" defaultRowHeight="15" x14ac:dyDescent="0.25"/>
  <cols>
    <col min="1" max="1" width="12.85546875" customWidth="1"/>
    <col min="2" max="2" width="6.7109375" bestFit="1" customWidth="1"/>
    <col min="3" max="3" width="3.7109375" bestFit="1" customWidth="1"/>
    <col min="4" max="4" width="145.28515625" customWidth="1"/>
    <col min="5" max="5" width="8" bestFit="1" customWidth="1"/>
    <col min="6" max="6" width="6.5703125" bestFit="1" customWidth="1"/>
    <col min="7" max="7" width="7.8554687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ht="18.75" x14ac:dyDescent="0.25">
      <c r="A2" s="3" t="s">
        <v>1</v>
      </c>
      <c r="B2" s="4"/>
      <c r="C2" s="4"/>
      <c r="D2" s="4"/>
      <c r="E2" s="4"/>
      <c r="F2" s="4"/>
      <c r="G2" s="4"/>
    </row>
    <row r="3" spans="1:7" x14ac:dyDescent="0.25">
      <c r="A3" s="5" t="s">
        <v>2</v>
      </c>
      <c r="B3" s="5" t="s">
        <v>5</v>
      </c>
      <c r="C3" s="5" t="s">
        <v>6</v>
      </c>
      <c r="D3" s="19" t="s">
        <v>3</v>
      </c>
      <c r="E3" s="6" t="s">
        <v>7</v>
      </c>
      <c r="F3" s="6" t="s">
        <v>8</v>
      </c>
      <c r="G3" s="6" t="s">
        <v>4</v>
      </c>
    </row>
    <row r="4" spans="1:7" x14ac:dyDescent="0.25">
      <c r="A4" s="7" t="s">
        <v>9</v>
      </c>
      <c r="B4" s="7" t="s">
        <v>11</v>
      </c>
      <c r="C4" s="7" t="s">
        <v>12</v>
      </c>
      <c r="D4" s="20" t="s">
        <v>10</v>
      </c>
      <c r="E4" s="8">
        <f>E92</f>
        <v>1</v>
      </c>
      <c r="F4" s="9">
        <f>F92</f>
        <v>0</v>
      </c>
      <c r="G4" s="9">
        <f>G92</f>
        <v>0</v>
      </c>
    </row>
    <row r="5" spans="1:7" x14ac:dyDescent="0.25">
      <c r="A5" s="10" t="s">
        <v>13</v>
      </c>
      <c r="B5" s="10" t="s">
        <v>11</v>
      </c>
      <c r="C5" s="10" t="s">
        <v>15</v>
      </c>
      <c r="D5" s="21" t="s">
        <v>14</v>
      </c>
      <c r="E5" s="9">
        <f>E67</f>
        <v>1</v>
      </c>
      <c r="F5" s="9">
        <f>F67</f>
        <v>0</v>
      </c>
      <c r="G5" s="9">
        <f>G67</f>
        <v>0</v>
      </c>
    </row>
    <row r="6" spans="1:7" x14ac:dyDescent="0.25">
      <c r="A6" s="10" t="s">
        <v>16</v>
      </c>
      <c r="B6" s="10" t="s">
        <v>11</v>
      </c>
      <c r="C6" s="10" t="s">
        <v>15</v>
      </c>
      <c r="D6" s="21" t="s">
        <v>17</v>
      </c>
      <c r="E6" s="9">
        <f>E15</f>
        <v>1</v>
      </c>
      <c r="F6" s="9">
        <f>F15</f>
        <v>0</v>
      </c>
      <c r="G6" s="9">
        <f>G15</f>
        <v>0</v>
      </c>
    </row>
    <row r="7" spans="1:7" x14ac:dyDescent="0.25">
      <c r="A7" s="11" t="s">
        <v>18</v>
      </c>
      <c r="B7" s="11" t="s">
        <v>20</v>
      </c>
      <c r="C7" s="11" t="s">
        <v>12</v>
      </c>
      <c r="D7" s="22" t="s">
        <v>19</v>
      </c>
      <c r="E7" s="12">
        <v>1</v>
      </c>
      <c r="F7" s="12">
        <v>0</v>
      </c>
      <c r="G7" s="13">
        <f>ROUND(E7*F7,2)</f>
        <v>0</v>
      </c>
    </row>
    <row r="8" spans="1:7" ht="409.5" x14ac:dyDescent="0.25">
      <c r="A8" s="14"/>
      <c r="B8" s="14"/>
      <c r="C8" s="14"/>
      <c r="D8" s="15" t="s">
        <v>21</v>
      </c>
      <c r="E8" s="14"/>
      <c r="F8" s="14"/>
      <c r="G8" s="14"/>
    </row>
    <row r="9" spans="1:7" x14ac:dyDescent="0.25">
      <c r="A9" s="11" t="s">
        <v>22</v>
      </c>
      <c r="B9" s="11" t="s">
        <v>20</v>
      </c>
      <c r="C9" s="11" t="s">
        <v>12</v>
      </c>
      <c r="D9" s="22" t="s">
        <v>23</v>
      </c>
      <c r="E9" s="12">
        <v>2</v>
      </c>
      <c r="F9" s="12">
        <v>0</v>
      </c>
      <c r="G9" s="13">
        <f>ROUND(E9*F9,2)</f>
        <v>0</v>
      </c>
    </row>
    <row r="10" spans="1:7" ht="409.5" x14ac:dyDescent="0.25">
      <c r="A10" s="14"/>
      <c r="B10" s="14"/>
      <c r="C10" s="14"/>
      <c r="D10" s="15" t="s">
        <v>24</v>
      </c>
      <c r="E10" s="14"/>
      <c r="F10" s="14"/>
      <c r="G10" s="14"/>
    </row>
    <row r="11" spans="1:7" x14ac:dyDescent="0.25">
      <c r="A11" s="11" t="s">
        <v>25</v>
      </c>
      <c r="B11" s="11" t="s">
        <v>20</v>
      </c>
      <c r="C11" s="11" t="s">
        <v>12</v>
      </c>
      <c r="D11" s="22" t="s">
        <v>26</v>
      </c>
      <c r="E11" s="12">
        <v>0</v>
      </c>
      <c r="F11" s="12">
        <v>0</v>
      </c>
      <c r="G11" s="13">
        <f>ROUND(E11*F11,2)</f>
        <v>0</v>
      </c>
    </row>
    <row r="12" spans="1:7" ht="247.5" x14ac:dyDescent="0.25">
      <c r="A12" s="14"/>
      <c r="B12" s="14"/>
      <c r="C12" s="14"/>
      <c r="D12" s="15" t="s">
        <v>27</v>
      </c>
      <c r="E12" s="14"/>
      <c r="F12" s="14"/>
      <c r="G12" s="14"/>
    </row>
    <row r="13" spans="1:7" x14ac:dyDescent="0.25">
      <c r="A13" s="11" t="s">
        <v>28</v>
      </c>
      <c r="B13" s="11" t="s">
        <v>20</v>
      </c>
      <c r="C13" s="11" t="s">
        <v>12</v>
      </c>
      <c r="D13" s="22" t="s">
        <v>29</v>
      </c>
      <c r="E13" s="12">
        <v>0</v>
      </c>
      <c r="F13" s="12">
        <v>0</v>
      </c>
      <c r="G13" s="13">
        <f>ROUND(E13*F13,2)</f>
        <v>0</v>
      </c>
    </row>
    <row r="14" spans="1:7" ht="258.75" x14ac:dyDescent="0.25">
      <c r="A14" s="14"/>
      <c r="B14" s="14"/>
      <c r="C14" s="14"/>
      <c r="D14" s="15" t="s">
        <v>30</v>
      </c>
      <c r="E14" s="14"/>
      <c r="F14" s="14"/>
      <c r="G14" s="14"/>
    </row>
    <row r="15" spans="1:7" x14ac:dyDescent="0.25">
      <c r="A15" s="14"/>
      <c r="B15" s="14"/>
      <c r="C15" s="14"/>
      <c r="D15" s="23" t="s">
        <v>31</v>
      </c>
      <c r="E15" s="12">
        <v>1</v>
      </c>
      <c r="F15" s="9">
        <f>G7+G9+G11+G13</f>
        <v>0</v>
      </c>
      <c r="G15" s="9">
        <f>ROUND(F15*E15,2)</f>
        <v>0</v>
      </c>
    </row>
    <row r="16" spans="1:7" x14ac:dyDescent="0.25">
      <c r="A16" s="16"/>
      <c r="B16" s="16"/>
      <c r="C16" s="16"/>
      <c r="D16" s="24"/>
      <c r="E16" s="16"/>
      <c r="F16" s="16"/>
      <c r="G16" s="16"/>
    </row>
    <row r="17" spans="1:7" x14ac:dyDescent="0.25">
      <c r="A17" s="10" t="s">
        <v>32</v>
      </c>
      <c r="B17" s="10" t="s">
        <v>11</v>
      </c>
      <c r="C17" s="10" t="s">
        <v>15</v>
      </c>
      <c r="D17" s="21" t="s">
        <v>33</v>
      </c>
      <c r="E17" s="9">
        <f>E58</f>
        <v>1</v>
      </c>
      <c r="F17" s="9">
        <f>F58</f>
        <v>0</v>
      </c>
      <c r="G17" s="9">
        <f>G58</f>
        <v>0</v>
      </c>
    </row>
    <row r="18" spans="1:7" x14ac:dyDescent="0.25">
      <c r="A18" s="11" t="s">
        <v>34</v>
      </c>
      <c r="B18" s="11" t="s">
        <v>20</v>
      </c>
      <c r="C18" s="11" t="s">
        <v>36</v>
      </c>
      <c r="D18" s="22" t="s">
        <v>35</v>
      </c>
      <c r="E18" s="12">
        <v>1</v>
      </c>
      <c r="F18" s="12">
        <v>0</v>
      </c>
      <c r="G18" s="13">
        <f>ROUND(E18*F18,2)</f>
        <v>0</v>
      </c>
    </row>
    <row r="19" spans="1:7" ht="22.5" x14ac:dyDescent="0.25">
      <c r="A19" s="14"/>
      <c r="B19" s="14"/>
      <c r="C19" s="14"/>
      <c r="D19" s="15" t="s">
        <v>37</v>
      </c>
      <c r="E19" s="14"/>
      <c r="F19" s="14"/>
      <c r="G19" s="14"/>
    </row>
    <row r="20" spans="1:7" x14ac:dyDescent="0.25">
      <c r="A20" s="11" t="s">
        <v>38</v>
      </c>
      <c r="B20" s="11" t="s">
        <v>20</v>
      </c>
      <c r="C20" s="11" t="s">
        <v>40</v>
      </c>
      <c r="D20" s="22" t="s">
        <v>39</v>
      </c>
      <c r="E20" s="12">
        <v>88.66</v>
      </c>
      <c r="F20" s="12">
        <v>0</v>
      </c>
      <c r="G20" s="13">
        <f>ROUND(E20*F20,2)</f>
        <v>0</v>
      </c>
    </row>
    <row r="21" spans="1:7" ht="123.75" x14ac:dyDescent="0.25">
      <c r="A21" s="14"/>
      <c r="B21" s="14"/>
      <c r="C21" s="14"/>
      <c r="D21" s="15" t="s">
        <v>41</v>
      </c>
      <c r="E21" s="14"/>
      <c r="F21" s="14"/>
      <c r="G21" s="14"/>
    </row>
    <row r="22" spans="1:7" x14ac:dyDescent="0.25">
      <c r="A22" s="11" t="s">
        <v>42</v>
      </c>
      <c r="B22" s="11" t="s">
        <v>20</v>
      </c>
      <c r="C22" s="11" t="s">
        <v>12</v>
      </c>
      <c r="D22" s="22" t="s">
        <v>43</v>
      </c>
      <c r="E22" s="12">
        <v>2</v>
      </c>
      <c r="F22" s="12">
        <v>0</v>
      </c>
      <c r="G22" s="13">
        <f>ROUND(E22*F22,2)</f>
        <v>0</v>
      </c>
    </row>
    <row r="23" spans="1:7" ht="33.75" x14ac:dyDescent="0.25">
      <c r="A23" s="14"/>
      <c r="B23" s="14"/>
      <c r="C23" s="14"/>
      <c r="D23" s="15" t="s">
        <v>44</v>
      </c>
      <c r="E23" s="14"/>
      <c r="F23" s="14"/>
      <c r="G23" s="14"/>
    </row>
    <row r="24" spans="1:7" x14ac:dyDescent="0.25">
      <c r="A24" s="11" t="s">
        <v>45</v>
      </c>
      <c r="B24" s="11" t="s">
        <v>20</v>
      </c>
      <c r="C24" s="11" t="s">
        <v>12</v>
      </c>
      <c r="D24" s="22" t="s">
        <v>46</v>
      </c>
      <c r="E24" s="12">
        <v>4</v>
      </c>
      <c r="F24" s="12">
        <v>0</v>
      </c>
      <c r="G24" s="13">
        <f>ROUND(E24*F24,2)</f>
        <v>0</v>
      </c>
    </row>
    <row r="25" spans="1:7" ht="33.75" x14ac:dyDescent="0.25">
      <c r="A25" s="14"/>
      <c r="B25" s="14"/>
      <c r="C25" s="14"/>
      <c r="D25" s="15" t="s">
        <v>47</v>
      </c>
      <c r="E25" s="14"/>
      <c r="F25" s="14"/>
      <c r="G25" s="14"/>
    </row>
    <row r="26" spans="1:7" x14ac:dyDescent="0.25">
      <c r="A26" s="11" t="s">
        <v>48</v>
      </c>
      <c r="B26" s="11" t="s">
        <v>20</v>
      </c>
      <c r="C26" s="11" t="s">
        <v>12</v>
      </c>
      <c r="D26" s="22" t="s">
        <v>49</v>
      </c>
      <c r="E26" s="12">
        <v>1</v>
      </c>
      <c r="F26" s="12">
        <v>0</v>
      </c>
      <c r="G26" s="13">
        <f>ROUND(E26*F26,2)</f>
        <v>0</v>
      </c>
    </row>
    <row r="27" spans="1:7" ht="56.25" x14ac:dyDescent="0.25">
      <c r="A27" s="14"/>
      <c r="B27" s="14"/>
      <c r="C27" s="14"/>
      <c r="D27" s="15" t="s">
        <v>50</v>
      </c>
      <c r="E27" s="14"/>
      <c r="F27" s="14"/>
      <c r="G27" s="14"/>
    </row>
    <row r="28" spans="1:7" x14ac:dyDescent="0.25">
      <c r="A28" s="11" t="s">
        <v>51</v>
      </c>
      <c r="B28" s="11" t="s">
        <v>20</v>
      </c>
      <c r="C28" s="11" t="s">
        <v>12</v>
      </c>
      <c r="D28" s="22" t="s">
        <v>52</v>
      </c>
      <c r="E28" s="12">
        <v>1</v>
      </c>
      <c r="F28" s="12">
        <v>0</v>
      </c>
      <c r="G28" s="13">
        <f>ROUND(E28*F28,2)</f>
        <v>0</v>
      </c>
    </row>
    <row r="29" spans="1:7" ht="33.75" x14ac:dyDescent="0.25">
      <c r="A29" s="14"/>
      <c r="B29" s="14"/>
      <c r="C29" s="14"/>
      <c r="D29" s="15" t="s">
        <v>53</v>
      </c>
      <c r="E29" s="14"/>
      <c r="F29" s="14"/>
      <c r="G29" s="14"/>
    </row>
    <row r="30" spans="1:7" x14ac:dyDescent="0.25">
      <c r="A30" s="11" t="s">
        <v>54</v>
      </c>
      <c r="B30" s="11" t="s">
        <v>20</v>
      </c>
      <c r="C30" s="11" t="s">
        <v>12</v>
      </c>
      <c r="D30" s="22" t="s">
        <v>55</v>
      </c>
      <c r="E30" s="12">
        <v>3</v>
      </c>
      <c r="F30" s="12">
        <v>0</v>
      </c>
      <c r="G30" s="13">
        <f>ROUND(E30*F30,2)</f>
        <v>0</v>
      </c>
    </row>
    <row r="31" spans="1:7" ht="33.75" x14ac:dyDescent="0.25">
      <c r="A31" s="14"/>
      <c r="B31" s="14"/>
      <c r="C31" s="14"/>
      <c r="D31" s="15" t="s">
        <v>56</v>
      </c>
      <c r="E31" s="14"/>
      <c r="F31" s="14"/>
      <c r="G31" s="14"/>
    </row>
    <row r="32" spans="1:7" x14ac:dyDescent="0.25">
      <c r="A32" s="11" t="s">
        <v>57</v>
      </c>
      <c r="B32" s="11" t="s">
        <v>20</v>
      </c>
      <c r="C32" s="11" t="s">
        <v>12</v>
      </c>
      <c r="D32" s="22" t="s">
        <v>58</v>
      </c>
      <c r="E32" s="12">
        <v>4</v>
      </c>
      <c r="F32" s="12">
        <v>0</v>
      </c>
      <c r="G32" s="13">
        <f>ROUND(E32*F32,2)</f>
        <v>0</v>
      </c>
    </row>
    <row r="33" spans="1:7" ht="33.75" x14ac:dyDescent="0.25">
      <c r="A33" s="14"/>
      <c r="B33" s="14"/>
      <c r="C33" s="14"/>
      <c r="D33" s="15" t="s">
        <v>59</v>
      </c>
      <c r="E33" s="14"/>
      <c r="F33" s="14"/>
      <c r="G33" s="14"/>
    </row>
    <row r="34" spans="1:7" x14ac:dyDescent="0.25">
      <c r="A34" s="11" t="s">
        <v>60</v>
      </c>
      <c r="B34" s="11" t="s">
        <v>20</v>
      </c>
      <c r="C34" s="11" t="s">
        <v>12</v>
      </c>
      <c r="D34" s="22" t="s">
        <v>61</v>
      </c>
      <c r="E34" s="12">
        <v>2</v>
      </c>
      <c r="F34" s="12">
        <v>0</v>
      </c>
      <c r="G34" s="13">
        <f>ROUND(E34*F34,2)</f>
        <v>0</v>
      </c>
    </row>
    <row r="35" spans="1:7" ht="22.5" x14ac:dyDescent="0.25">
      <c r="A35" s="14"/>
      <c r="B35" s="14"/>
      <c r="C35" s="14"/>
      <c r="D35" s="15" t="s">
        <v>62</v>
      </c>
      <c r="E35" s="14"/>
      <c r="F35" s="14"/>
      <c r="G35" s="14"/>
    </row>
    <row r="36" spans="1:7" x14ac:dyDescent="0.25">
      <c r="A36" s="11" t="s">
        <v>63</v>
      </c>
      <c r="B36" s="11" t="s">
        <v>20</v>
      </c>
      <c r="C36" s="11" t="s">
        <v>12</v>
      </c>
      <c r="D36" s="22" t="s">
        <v>64</v>
      </c>
      <c r="E36" s="12">
        <v>1</v>
      </c>
      <c r="F36" s="12">
        <v>0</v>
      </c>
      <c r="G36" s="13">
        <f>ROUND(E36*F36,2)</f>
        <v>0</v>
      </c>
    </row>
    <row r="37" spans="1:7" ht="45" x14ac:dyDescent="0.25">
      <c r="A37" s="14"/>
      <c r="B37" s="14"/>
      <c r="C37" s="14"/>
      <c r="D37" s="15" t="s">
        <v>65</v>
      </c>
      <c r="E37" s="14"/>
      <c r="F37" s="14"/>
      <c r="G37" s="14"/>
    </row>
    <row r="38" spans="1:7" x14ac:dyDescent="0.25">
      <c r="A38" s="11" t="s">
        <v>66</v>
      </c>
      <c r="B38" s="11" t="s">
        <v>20</v>
      </c>
      <c r="C38" s="11" t="s">
        <v>12</v>
      </c>
      <c r="D38" s="22" t="s">
        <v>67</v>
      </c>
      <c r="E38" s="12">
        <v>2</v>
      </c>
      <c r="F38" s="12">
        <v>0</v>
      </c>
      <c r="G38" s="13">
        <f>ROUND(E38*F38,2)</f>
        <v>0</v>
      </c>
    </row>
    <row r="39" spans="1:7" ht="56.25" x14ac:dyDescent="0.25">
      <c r="A39" s="14"/>
      <c r="B39" s="14"/>
      <c r="C39" s="14"/>
      <c r="D39" s="15" t="s">
        <v>68</v>
      </c>
      <c r="E39" s="14"/>
      <c r="F39" s="14"/>
      <c r="G39" s="14"/>
    </row>
    <row r="40" spans="1:7" x14ac:dyDescent="0.25">
      <c r="A40" s="11" t="s">
        <v>69</v>
      </c>
      <c r="B40" s="11" t="s">
        <v>20</v>
      </c>
      <c r="C40" s="11" t="s">
        <v>12</v>
      </c>
      <c r="D40" s="22" t="s">
        <v>70</v>
      </c>
      <c r="E40" s="12">
        <v>3</v>
      </c>
      <c r="F40" s="12">
        <v>0</v>
      </c>
      <c r="G40" s="13">
        <f>ROUND(E40*F40,2)</f>
        <v>0</v>
      </c>
    </row>
    <row r="41" spans="1:7" ht="56.25" x14ac:dyDescent="0.25">
      <c r="A41" s="14"/>
      <c r="B41" s="14"/>
      <c r="C41" s="14"/>
      <c r="D41" s="15" t="s">
        <v>71</v>
      </c>
      <c r="E41" s="14"/>
      <c r="F41" s="14"/>
      <c r="G41" s="14"/>
    </row>
    <row r="42" spans="1:7" x14ac:dyDescent="0.25">
      <c r="A42" s="11" t="s">
        <v>72</v>
      </c>
      <c r="B42" s="11" t="s">
        <v>20</v>
      </c>
      <c r="C42" s="11" t="s">
        <v>12</v>
      </c>
      <c r="D42" s="22" t="s">
        <v>73</v>
      </c>
      <c r="E42" s="12">
        <v>4</v>
      </c>
      <c r="F42" s="12">
        <v>0</v>
      </c>
      <c r="G42" s="13">
        <f>ROUND(E42*F42,2)</f>
        <v>0</v>
      </c>
    </row>
    <row r="43" spans="1:7" ht="33.75" x14ac:dyDescent="0.25">
      <c r="A43" s="14"/>
      <c r="B43" s="14"/>
      <c r="C43" s="14"/>
      <c r="D43" s="15" t="s">
        <v>74</v>
      </c>
      <c r="E43" s="14"/>
      <c r="F43" s="14"/>
      <c r="G43" s="14"/>
    </row>
    <row r="44" spans="1:7" x14ac:dyDescent="0.25">
      <c r="A44" s="11" t="s">
        <v>75</v>
      </c>
      <c r="B44" s="11" t="s">
        <v>20</v>
      </c>
      <c r="C44" s="11" t="s">
        <v>12</v>
      </c>
      <c r="D44" s="22" t="s">
        <v>76</v>
      </c>
      <c r="E44" s="12">
        <v>2</v>
      </c>
      <c r="F44" s="12">
        <v>0</v>
      </c>
      <c r="G44" s="13">
        <f>ROUND(E44*F44,2)</f>
        <v>0</v>
      </c>
    </row>
    <row r="45" spans="1:7" ht="45" x14ac:dyDescent="0.25">
      <c r="A45" s="14"/>
      <c r="B45" s="14"/>
      <c r="C45" s="14"/>
      <c r="D45" s="15" t="s">
        <v>77</v>
      </c>
      <c r="E45" s="14"/>
      <c r="F45" s="14"/>
      <c r="G45" s="14"/>
    </row>
    <row r="46" spans="1:7" x14ac:dyDescent="0.25">
      <c r="A46" s="11" t="s">
        <v>78</v>
      </c>
      <c r="B46" s="11" t="s">
        <v>20</v>
      </c>
      <c r="C46" s="11" t="s">
        <v>12</v>
      </c>
      <c r="D46" s="22" t="s">
        <v>79</v>
      </c>
      <c r="E46" s="12">
        <v>12</v>
      </c>
      <c r="F46" s="12">
        <v>0</v>
      </c>
      <c r="G46" s="13">
        <f>ROUND(E46*F46,2)</f>
        <v>0</v>
      </c>
    </row>
    <row r="47" spans="1:7" ht="33.75" x14ac:dyDescent="0.25">
      <c r="A47" s="14"/>
      <c r="B47" s="14"/>
      <c r="C47" s="14"/>
      <c r="D47" s="15" t="s">
        <v>80</v>
      </c>
      <c r="E47" s="14"/>
      <c r="F47" s="14"/>
      <c r="G47" s="14"/>
    </row>
    <row r="48" spans="1:7" x14ac:dyDescent="0.25">
      <c r="A48" s="11" t="s">
        <v>81</v>
      </c>
      <c r="B48" s="11" t="s">
        <v>20</v>
      </c>
      <c r="C48" s="11" t="s">
        <v>12</v>
      </c>
      <c r="D48" s="22" t="s">
        <v>82</v>
      </c>
      <c r="E48" s="12">
        <v>18</v>
      </c>
      <c r="F48" s="12">
        <v>0</v>
      </c>
      <c r="G48" s="13">
        <f>ROUND(E48*F48,2)</f>
        <v>0</v>
      </c>
    </row>
    <row r="49" spans="1:7" ht="22.5" x14ac:dyDescent="0.25">
      <c r="A49" s="14"/>
      <c r="B49" s="14"/>
      <c r="C49" s="14"/>
      <c r="D49" s="15" t="s">
        <v>83</v>
      </c>
      <c r="E49" s="14"/>
      <c r="F49" s="14"/>
      <c r="G49" s="14"/>
    </row>
    <row r="50" spans="1:7" x14ac:dyDescent="0.25">
      <c r="A50" s="11" t="s">
        <v>84</v>
      </c>
      <c r="B50" s="11" t="s">
        <v>20</v>
      </c>
      <c r="C50" s="11" t="s">
        <v>12</v>
      </c>
      <c r="D50" s="22" t="s">
        <v>85</v>
      </c>
      <c r="E50" s="12">
        <v>1</v>
      </c>
      <c r="F50" s="12">
        <v>0</v>
      </c>
      <c r="G50" s="13">
        <f>ROUND(E50*F50,2)</f>
        <v>0</v>
      </c>
    </row>
    <row r="51" spans="1:7" ht="45" x14ac:dyDescent="0.25">
      <c r="A51" s="14"/>
      <c r="B51" s="14"/>
      <c r="C51" s="14"/>
      <c r="D51" s="15" t="s">
        <v>86</v>
      </c>
      <c r="E51" s="14"/>
      <c r="F51" s="14"/>
      <c r="G51" s="14"/>
    </row>
    <row r="52" spans="1:7" x14ac:dyDescent="0.25">
      <c r="A52" s="11" t="s">
        <v>87</v>
      </c>
      <c r="B52" s="11" t="s">
        <v>20</v>
      </c>
      <c r="C52" s="11" t="s">
        <v>12</v>
      </c>
      <c r="D52" s="22" t="s">
        <v>88</v>
      </c>
      <c r="E52" s="12">
        <v>3</v>
      </c>
      <c r="F52" s="12">
        <v>0</v>
      </c>
      <c r="G52" s="13">
        <f>ROUND(E52*F52,2)</f>
        <v>0</v>
      </c>
    </row>
    <row r="53" spans="1:7" ht="45" x14ac:dyDescent="0.25">
      <c r="A53" s="14"/>
      <c r="B53" s="14"/>
      <c r="C53" s="14"/>
      <c r="D53" s="15" t="s">
        <v>89</v>
      </c>
      <c r="E53" s="14"/>
      <c r="F53" s="14"/>
      <c r="G53" s="14"/>
    </row>
    <row r="54" spans="1:7" x14ac:dyDescent="0.25">
      <c r="A54" s="11" t="s">
        <v>90</v>
      </c>
      <c r="B54" s="11" t="s">
        <v>20</v>
      </c>
      <c r="C54" s="11" t="s">
        <v>92</v>
      </c>
      <c r="D54" s="22" t="s">
        <v>91</v>
      </c>
      <c r="E54" s="12">
        <v>36</v>
      </c>
      <c r="F54" s="12">
        <v>0</v>
      </c>
      <c r="G54" s="13">
        <f>ROUND(E54*F54,2)</f>
        <v>0</v>
      </c>
    </row>
    <row r="55" spans="1:7" ht="45" x14ac:dyDescent="0.25">
      <c r="A55" s="14"/>
      <c r="B55" s="14"/>
      <c r="C55" s="14"/>
      <c r="D55" s="15" t="s">
        <v>93</v>
      </c>
      <c r="E55" s="14"/>
      <c r="F55" s="14"/>
      <c r="G55" s="14"/>
    </row>
    <row r="56" spans="1:7" x14ac:dyDescent="0.25">
      <c r="A56" s="11" t="s">
        <v>94</v>
      </c>
      <c r="B56" s="11" t="s">
        <v>20</v>
      </c>
      <c r="C56" s="11" t="s">
        <v>12</v>
      </c>
      <c r="D56" s="22" t="s">
        <v>95</v>
      </c>
      <c r="E56" s="12">
        <v>3</v>
      </c>
      <c r="F56" s="12">
        <v>0</v>
      </c>
      <c r="G56" s="13">
        <f>ROUND(E56*F56,2)</f>
        <v>0</v>
      </c>
    </row>
    <row r="57" spans="1:7" ht="22.5" x14ac:dyDescent="0.25">
      <c r="A57" s="14"/>
      <c r="B57" s="14"/>
      <c r="C57" s="14"/>
      <c r="D57" s="15" t="s">
        <v>96</v>
      </c>
      <c r="E57" s="14"/>
      <c r="F57" s="14"/>
      <c r="G57" s="14"/>
    </row>
    <row r="58" spans="1:7" x14ac:dyDescent="0.25">
      <c r="A58" s="14"/>
      <c r="B58" s="14"/>
      <c r="C58" s="14"/>
      <c r="D58" s="23" t="s">
        <v>97</v>
      </c>
      <c r="E58" s="12">
        <v>1</v>
      </c>
      <c r="F58" s="9">
        <f>G18+G20+G22+G24+G26+G28+G30+G32+G34+G36+G38+G40+G42+G44+G46+G48+G50+G52+G54+G56</f>
        <v>0</v>
      </c>
      <c r="G58" s="9">
        <f>ROUND(F58*E58,2)</f>
        <v>0</v>
      </c>
    </row>
    <row r="59" spans="1:7" x14ac:dyDescent="0.25">
      <c r="A59" s="16"/>
      <c r="B59" s="16"/>
      <c r="C59" s="16"/>
      <c r="D59" s="24"/>
      <c r="E59" s="16"/>
      <c r="F59" s="16"/>
      <c r="G59" s="16"/>
    </row>
    <row r="60" spans="1:7" x14ac:dyDescent="0.25">
      <c r="A60" s="10" t="s">
        <v>98</v>
      </c>
      <c r="B60" s="10" t="s">
        <v>11</v>
      </c>
      <c r="C60" s="10" t="s">
        <v>100</v>
      </c>
      <c r="D60" s="21" t="s">
        <v>99</v>
      </c>
      <c r="E60" s="9">
        <f>E65</f>
        <v>1</v>
      </c>
      <c r="F60" s="9">
        <f>F65</f>
        <v>0</v>
      </c>
      <c r="G60" s="9">
        <f>G65</f>
        <v>0</v>
      </c>
    </row>
    <row r="61" spans="1:7" x14ac:dyDescent="0.25">
      <c r="A61" s="11" t="s">
        <v>101</v>
      </c>
      <c r="B61" s="11" t="s">
        <v>20</v>
      </c>
      <c r="C61" s="11" t="s">
        <v>103</v>
      </c>
      <c r="D61" s="22" t="s">
        <v>102</v>
      </c>
      <c r="E61" s="12">
        <v>1</v>
      </c>
      <c r="F61" s="12">
        <v>0</v>
      </c>
      <c r="G61" s="13">
        <f>ROUND(E61*F61,2)</f>
        <v>0</v>
      </c>
    </row>
    <row r="62" spans="1:7" ht="33.75" x14ac:dyDescent="0.25">
      <c r="A62" s="14"/>
      <c r="B62" s="14"/>
      <c r="C62" s="14"/>
      <c r="D62" s="15" t="s">
        <v>104</v>
      </c>
      <c r="E62" s="14"/>
      <c r="F62" s="14"/>
      <c r="G62" s="14"/>
    </row>
    <row r="63" spans="1:7" x14ac:dyDescent="0.25">
      <c r="A63" s="11" t="s">
        <v>105</v>
      </c>
      <c r="B63" s="11" t="s">
        <v>20</v>
      </c>
      <c r="C63" s="11" t="s">
        <v>103</v>
      </c>
      <c r="D63" s="22" t="s">
        <v>106</v>
      </c>
      <c r="E63" s="12">
        <v>1</v>
      </c>
      <c r="F63" s="12">
        <v>0</v>
      </c>
      <c r="G63" s="13">
        <f>ROUND(E63*F63,2)</f>
        <v>0</v>
      </c>
    </row>
    <row r="64" spans="1:7" x14ac:dyDescent="0.25">
      <c r="A64" s="14"/>
      <c r="B64" s="14"/>
      <c r="C64" s="14"/>
      <c r="D64" s="15" t="s">
        <v>107</v>
      </c>
      <c r="E64" s="14"/>
      <c r="F64" s="14"/>
      <c r="G64" s="14"/>
    </row>
    <row r="65" spans="1:7" x14ac:dyDescent="0.25">
      <c r="A65" s="14"/>
      <c r="B65" s="14"/>
      <c r="C65" s="14"/>
      <c r="D65" s="23" t="s">
        <v>108</v>
      </c>
      <c r="E65" s="12">
        <v>1</v>
      </c>
      <c r="F65" s="9">
        <f>G61+G63</f>
        <v>0</v>
      </c>
      <c r="G65" s="9">
        <f>ROUND(F65*E65,2)</f>
        <v>0</v>
      </c>
    </row>
    <row r="66" spans="1:7" x14ac:dyDescent="0.25">
      <c r="A66" s="16"/>
      <c r="B66" s="16"/>
      <c r="C66" s="16"/>
      <c r="D66" s="24"/>
      <c r="E66" s="16"/>
      <c r="F66" s="16"/>
      <c r="G66" s="16"/>
    </row>
    <row r="67" spans="1:7" x14ac:dyDescent="0.25">
      <c r="A67" s="14"/>
      <c r="B67" s="14"/>
      <c r="C67" s="14"/>
      <c r="D67" s="23" t="s">
        <v>109</v>
      </c>
      <c r="E67" s="12">
        <v>1</v>
      </c>
      <c r="F67" s="9">
        <f>G15+G58+G65</f>
        <v>0</v>
      </c>
      <c r="G67" s="9">
        <f>ROUND(F67*E67,2)</f>
        <v>0</v>
      </c>
    </row>
    <row r="68" spans="1:7" x14ac:dyDescent="0.25">
      <c r="A68" s="16"/>
      <c r="B68" s="16"/>
      <c r="C68" s="16"/>
      <c r="D68" s="24"/>
      <c r="E68" s="16"/>
      <c r="F68" s="16"/>
      <c r="G68" s="16"/>
    </row>
    <row r="69" spans="1:7" x14ac:dyDescent="0.25">
      <c r="A69" s="10" t="s">
        <v>110</v>
      </c>
      <c r="B69" s="10" t="s">
        <v>11</v>
      </c>
      <c r="C69" s="10" t="s">
        <v>15</v>
      </c>
      <c r="D69" s="21" t="s">
        <v>111</v>
      </c>
      <c r="E69" s="9">
        <f>E90</f>
        <v>1</v>
      </c>
      <c r="F69" s="9">
        <f>F90</f>
        <v>0</v>
      </c>
      <c r="G69" s="9">
        <f>G90</f>
        <v>0</v>
      </c>
    </row>
    <row r="70" spans="1:7" x14ac:dyDescent="0.25">
      <c r="A70" s="10" t="s">
        <v>112</v>
      </c>
      <c r="B70" s="10" t="s">
        <v>11</v>
      </c>
      <c r="C70" s="10" t="s">
        <v>15</v>
      </c>
      <c r="D70" s="21" t="s">
        <v>113</v>
      </c>
      <c r="E70" s="9">
        <f>E75</f>
        <v>1</v>
      </c>
      <c r="F70" s="9">
        <f>F75</f>
        <v>0</v>
      </c>
      <c r="G70" s="9">
        <f>G75</f>
        <v>0</v>
      </c>
    </row>
    <row r="71" spans="1:7" x14ac:dyDescent="0.25">
      <c r="A71" s="11" t="s">
        <v>114</v>
      </c>
      <c r="B71" s="11" t="s">
        <v>20</v>
      </c>
      <c r="C71" s="11" t="s">
        <v>12</v>
      </c>
      <c r="D71" s="22" t="s">
        <v>115</v>
      </c>
      <c r="E71" s="12">
        <v>1</v>
      </c>
      <c r="F71" s="12">
        <v>0</v>
      </c>
      <c r="G71" s="13">
        <f>ROUND(E71*F71,2)</f>
        <v>0</v>
      </c>
    </row>
    <row r="72" spans="1:7" ht="213.75" x14ac:dyDescent="0.25">
      <c r="A72" s="14"/>
      <c r="B72" s="14"/>
      <c r="C72" s="14"/>
      <c r="D72" s="15" t="s">
        <v>116</v>
      </c>
      <c r="E72" s="14"/>
      <c r="F72" s="14"/>
      <c r="G72" s="14"/>
    </row>
    <row r="73" spans="1:7" x14ac:dyDescent="0.25">
      <c r="A73" s="11" t="s">
        <v>117</v>
      </c>
      <c r="B73" s="11" t="s">
        <v>20</v>
      </c>
      <c r="C73" s="11" t="s">
        <v>12</v>
      </c>
      <c r="D73" s="22" t="s">
        <v>118</v>
      </c>
      <c r="E73" s="12">
        <v>1</v>
      </c>
      <c r="F73" s="12">
        <v>0</v>
      </c>
      <c r="G73" s="13">
        <f>ROUND(E73*F73,2)</f>
        <v>0</v>
      </c>
    </row>
    <row r="74" spans="1:7" ht="112.5" x14ac:dyDescent="0.25">
      <c r="A74" s="14"/>
      <c r="B74" s="14"/>
      <c r="C74" s="14"/>
      <c r="D74" s="15" t="s">
        <v>119</v>
      </c>
      <c r="E74" s="14"/>
      <c r="F74" s="14"/>
      <c r="G74" s="14"/>
    </row>
    <row r="75" spans="1:7" x14ac:dyDescent="0.25">
      <c r="A75" s="14"/>
      <c r="B75" s="14"/>
      <c r="C75" s="14"/>
      <c r="D75" s="23" t="s">
        <v>120</v>
      </c>
      <c r="E75" s="12">
        <v>1</v>
      </c>
      <c r="F75" s="9">
        <f>G71+G73</f>
        <v>0</v>
      </c>
      <c r="G75" s="9">
        <f>ROUND(F75*E75,2)</f>
        <v>0</v>
      </c>
    </row>
    <row r="76" spans="1:7" x14ac:dyDescent="0.25">
      <c r="A76" s="16"/>
      <c r="B76" s="16"/>
      <c r="C76" s="16"/>
      <c r="D76" s="24"/>
      <c r="E76" s="16"/>
      <c r="F76" s="16"/>
      <c r="G76" s="16"/>
    </row>
    <row r="77" spans="1:7" x14ac:dyDescent="0.25">
      <c r="A77" s="10" t="s">
        <v>121</v>
      </c>
      <c r="B77" s="10" t="s">
        <v>11</v>
      </c>
      <c r="C77" s="10" t="s">
        <v>15</v>
      </c>
      <c r="D77" s="21" t="s">
        <v>33</v>
      </c>
      <c r="E77" s="9">
        <f>E88</f>
        <v>1</v>
      </c>
      <c r="F77" s="9">
        <f>F88</f>
        <v>0</v>
      </c>
      <c r="G77" s="9">
        <f>G88</f>
        <v>0</v>
      </c>
    </row>
    <row r="78" spans="1:7" x14ac:dyDescent="0.25">
      <c r="A78" s="11" t="s">
        <v>122</v>
      </c>
      <c r="B78" s="11" t="s">
        <v>20</v>
      </c>
      <c r="C78" s="11" t="s">
        <v>40</v>
      </c>
      <c r="D78" s="22" t="s">
        <v>123</v>
      </c>
      <c r="E78" s="12">
        <v>3.25</v>
      </c>
      <c r="F78" s="12">
        <v>0</v>
      </c>
      <c r="G78" s="13">
        <f>ROUND(E78*F78,2)</f>
        <v>0</v>
      </c>
    </row>
    <row r="79" spans="1:7" ht="33.75" x14ac:dyDescent="0.25">
      <c r="A79" s="14"/>
      <c r="B79" s="14"/>
      <c r="C79" s="14"/>
      <c r="D79" s="15" t="s">
        <v>124</v>
      </c>
      <c r="E79" s="14"/>
      <c r="F79" s="14"/>
      <c r="G79" s="14"/>
    </row>
    <row r="80" spans="1:7" x14ac:dyDescent="0.25">
      <c r="A80" s="11" t="s">
        <v>125</v>
      </c>
      <c r="B80" s="11" t="s">
        <v>20</v>
      </c>
      <c r="C80" s="11" t="s">
        <v>92</v>
      </c>
      <c r="D80" s="22" t="s">
        <v>126</v>
      </c>
      <c r="E80" s="12">
        <v>7.8</v>
      </c>
      <c r="F80" s="12">
        <v>0</v>
      </c>
      <c r="G80" s="13">
        <f>ROUND(E80*F80,2)</f>
        <v>0</v>
      </c>
    </row>
    <row r="81" spans="1:7" ht="56.25" x14ac:dyDescent="0.25">
      <c r="A81" s="14"/>
      <c r="B81" s="14"/>
      <c r="C81" s="14"/>
      <c r="D81" s="15" t="s">
        <v>127</v>
      </c>
      <c r="E81" s="14"/>
      <c r="F81" s="14"/>
      <c r="G81" s="14"/>
    </row>
    <row r="82" spans="1:7" x14ac:dyDescent="0.25">
      <c r="A82" s="11" t="s">
        <v>128</v>
      </c>
      <c r="B82" s="11" t="s">
        <v>20</v>
      </c>
      <c r="C82" s="11" t="s">
        <v>12</v>
      </c>
      <c r="D82" s="22" t="s">
        <v>129</v>
      </c>
      <c r="E82" s="12">
        <v>2</v>
      </c>
      <c r="F82" s="12">
        <v>0</v>
      </c>
      <c r="G82" s="13">
        <f>ROUND(E82*F82,2)</f>
        <v>0</v>
      </c>
    </row>
    <row r="83" spans="1:7" ht="45" x14ac:dyDescent="0.25">
      <c r="A83" s="14"/>
      <c r="B83" s="14"/>
      <c r="C83" s="14"/>
      <c r="D83" s="15" t="s">
        <v>130</v>
      </c>
      <c r="E83" s="14"/>
      <c r="F83" s="14"/>
      <c r="G83" s="14"/>
    </row>
    <row r="84" spans="1:7" x14ac:dyDescent="0.25">
      <c r="A84" s="11" t="s">
        <v>131</v>
      </c>
      <c r="B84" s="11" t="s">
        <v>20</v>
      </c>
      <c r="C84" s="11" t="s">
        <v>12</v>
      </c>
      <c r="D84" s="22" t="s">
        <v>132</v>
      </c>
      <c r="E84" s="12">
        <v>2</v>
      </c>
      <c r="F84" s="12">
        <v>0</v>
      </c>
      <c r="G84" s="13">
        <f>ROUND(E84*F84,2)</f>
        <v>0</v>
      </c>
    </row>
    <row r="85" spans="1:7" x14ac:dyDescent="0.25">
      <c r="A85" s="14"/>
      <c r="B85" s="14"/>
      <c r="C85" s="14"/>
      <c r="D85" s="15" t="s">
        <v>133</v>
      </c>
      <c r="E85" s="14"/>
      <c r="F85" s="14"/>
      <c r="G85" s="14"/>
    </row>
    <row r="86" spans="1:7" x14ac:dyDescent="0.25">
      <c r="A86" s="11" t="s">
        <v>134</v>
      </c>
      <c r="B86" s="11" t="s">
        <v>20</v>
      </c>
      <c r="C86" s="11" t="s">
        <v>12</v>
      </c>
      <c r="D86" s="22" t="s">
        <v>135</v>
      </c>
      <c r="E86" s="12">
        <v>2</v>
      </c>
      <c r="F86" s="12">
        <v>0</v>
      </c>
      <c r="G86" s="13">
        <f>ROUND(E86*F86,2)</f>
        <v>0</v>
      </c>
    </row>
    <row r="87" spans="1:7" ht="33.75" x14ac:dyDescent="0.25">
      <c r="A87" s="14"/>
      <c r="B87" s="14"/>
      <c r="C87" s="14"/>
      <c r="D87" s="15" t="s">
        <v>136</v>
      </c>
      <c r="E87" s="14"/>
      <c r="F87" s="14"/>
      <c r="G87" s="14"/>
    </row>
    <row r="88" spans="1:7" x14ac:dyDescent="0.25">
      <c r="A88" s="14"/>
      <c r="B88" s="14"/>
      <c r="C88" s="14"/>
      <c r="D88" s="23" t="s">
        <v>137</v>
      </c>
      <c r="E88" s="12">
        <v>1</v>
      </c>
      <c r="F88" s="9">
        <f>G78+G80+G82+G84+G86</f>
        <v>0</v>
      </c>
      <c r="G88" s="9">
        <f>ROUND(F88*E88,2)</f>
        <v>0</v>
      </c>
    </row>
    <row r="89" spans="1:7" x14ac:dyDescent="0.25">
      <c r="A89" s="16"/>
      <c r="B89" s="16"/>
      <c r="C89" s="16"/>
      <c r="D89" s="24"/>
      <c r="E89" s="16"/>
      <c r="F89" s="16"/>
      <c r="G89" s="16"/>
    </row>
    <row r="90" spans="1:7" x14ac:dyDescent="0.25">
      <c r="A90" s="14"/>
      <c r="B90" s="14"/>
      <c r="C90" s="14"/>
      <c r="D90" s="23" t="s">
        <v>138</v>
      </c>
      <c r="E90" s="12">
        <v>1</v>
      </c>
      <c r="F90" s="9">
        <f>G75+G88</f>
        <v>0</v>
      </c>
      <c r="G90" s="9">
        <f>ROUND(F90*E90,2)</f>
        <v>0</v>
      </c>
    </row>
    <row r="91" spans="1:7" x14ac:dyDescent="0.25">
      <c r="A91" s="16"/>
      <c r="B91" s="16"/>
      <c r="C91" s="16"/>
      <c r="D91" s="24"/>
      <c r="E91" s="16"/>
      <c r="F91" s="16"/>
      <c r="G91" s="16"/>
    </row>
    <row r="92" spans="1:7" x14ac:dyDescent="0.25">
      <c r="A92" s="14"/>
      <c r="B92" s="14"/>
      <c r="C92" s="14"/>
      <c r="D92" s="23" t="s">
        <v>139</v>
      </c>
      <c r="E92" s="17">
        <v>1</v>
      </c>
      <c r="F92" s="9">
        <f>G67+G90</f>
        <v>0</v>
      </c>
      <c r="G92" s="9">
        <f>ROUND(F92*E92,2)</f>
        <v>0</v>
      </c>
    </row>
    <row r="93" spans="1:7" x14ac:dyDescent="0.25">
      <c r="A93" s="16"/>
      <c r="B93" s="16"/>
      <c r="C93" s="16"/>
      <c r="D93" s="24"/>
      <c r="E93" s="16"/>
      <c r="F93" s="16"/>
      <c r="G93" s="16"/>
    </row>
    <row r="94" spans="1:7" x14ac:dyDescent="0.25">
      <c r="A94" s="7" t="s">
        <v>140</v>
      </c>
      <c r="B94" s="7" t="s">
        <v>11</v>
      </c>
      <c r="C94" s="7" t="s">
        <v>12</v>
      </c>
      <c r="D94" s="20" t="s">
        <v>141</v>
      </c>
      <c r="E94" s="8">
        <f>E165</f>
        <v>1</v>
      </c>
      <c r="F94" s="9">
        <f>F165</f>
        <v>0</v>
      </c>
      <c r="G94" s="9">
        <f>G165</f>
        <v>0</v>
      </c>
    </row>
    <row r="95" spans="1:7" x14ac:dyDescent="0.25">
      <c r="A95" s="14"/>
      <c r="B95" s="14"/>
      <c r="C95" s="14"/>
      <c r="D95" s="15"/>
      <c r="E95" s="14"/>
      <c r="F95" s="14"/>
      <c r="G95" s="14"/>
    </row>
    <row r="96" spans="1:7" x14ac:dyDescent="0.25">
      <c r="A96" s="10" t="s">
        <v>142</v>
      </c>
      <c r="B96" s="10" t="s">
        <v>11</v>
      </c>
      <c r="C96" s="10" t="s">
        <v>15</v>
      </c>
      <c r="D96" s="21" t="s">
        <v>143</v>
      </c>
      <c r="E96" s="9">
        <f>E99</f>
        <v>1</v>
      </c>
      <c r="F96" s="9">
        <f>F99</f>
        <v>0</v>
      </c>
      <c r="G96" s="9">
        <f>G99</f>
        <v>0</v>
      </c>
    </row>
    <row r="97" spans="1:7" x14ac:dyDescent="0.25">
      <c r="A97" s="11" t="s">
        <v>144</v>
      </c>
      <c r="B97" s="11" t="s">
        <v>20</v>
      </c>
      <c r="C97" s="11" t="s">
        <v>12</v>
      </c>
      <c r="D97" s="22" t="s">
        <v>145</v>
      </c>
      <c r="E97" s="12">
        <v>1</v>
      </c>
      <c r="F97" s="12">
        <v>0</v>
      </c>
      <c r="G97" s="13">
        <f>ROUND(E97*F97,2)</f>
        <v>0</v>
      </c>
    </row>
    <row r="98" spans="1:7" ht="22.5" x14ac:dyDescent="0.25">
      <c r="A98" s="14"/>
      <c r="B98" s="14"/>
      <c r="C98" s="14"/>
      <c r="D98" s="15" t="s">
        <v>146</v>
      </c>
      <c r="E98" s="14"/>
      <c r="F98" s="14"/>
      <c r="G98" s="14"/>
    </row>
    <row r="99" spans="1:7" x14ac:dyDescent="0.25">
      <c r="A99" s="14"/>
      <c r="B99" s="14"/>
      <c r="C99" s="14"/>
      <c r="D99" s="23" t="s">
        <v>147</v>
      </c>
      <c r="E99" s="12">
        <v>1</v>
      </c>
      <c r="F99" s="9">
        <f>G97</f>
        <v>0</v>
      </c>
      <c r="G99" s="9">
        <f>ROUND(F99*E99,2)</f>
        <v>0</v>
      </c>
    </row>
    <row r="100" spans="1:7" x14ac:dyDescent="0.25">
      <c r="A100" s="16"/>
      <c r="B100" s="16"/>
      <c r="C100" s="16"/>
      <c r="D100" s="24"/>
      <c r="E100" s="16"/>
      <c r="F100" s="16"/>
      <c r="G100" s="16"/>
    </row>
    <row r="101" spans="1:7" x14ac:dyDescent="0.25">
      <c r="A101" s="10" t="s">
        <v>148</v>
      </c>
      <c r="B101" s="10" t="s">
        <v>11</v>
      </c>
      <c r="C101" s="10" t="s">
        <v>15</v>
      </c>
      <c r="D101" s="21" t="s">
        <v>149</v>
      </c>
      <c r="E101" s="9">
        <f>E112</f>
        <v>1</v>
      </c>
      <c r="F101" s="9">
        <f>F112</f>
        <v>0</v>
      </c>
      <c r="G101" s="9">
        <f>G112</f>
        <v>0</v>
      </c>
    </row>
    <row r="102" spans="1:7" x14ac:dyDescent="0.25">
      <c r="A102" s="11" t="s">
        <v>150</v>
      </c>
      <c r="B102" s="11" t="s">
        <v>20</v>
      </c>
      <c r="C102" s="11" t="s">
        <v>100</v>
      </c>
      <c r="D102" s="22" t="s">
        <v>151</v>
      </c>
      <c r="E102" s="12">
        <v>1</v>
      </c>
      <c r="F102" s="12">
        <v>0</v>
      </c>
      <c r="G102" s="13">
        <f>ROUND(E102*F102,2)</f>
        <v>0</v>
      </c>
    </row>
    <row r="103" spans="1:7" ht="180" x14ac:dyDescent="0.25">
      <c r="A103" s="14"/>
      <c r="B103" s="14"/>
      <c r="C103" s="14"/>
      <c r="D103" s="15" t="s">
        <v>152</v>
      </c>
      <c r="E103" s="14"/>
      <c r="F103" s="14"/>
      <c r="G103" s="14"/>
    </row>
    <row r="104" spans="1:7" x14ac:dyDescent="0.25">
      <c r="A104" s="11" t="s">
        <v>153</v>
      </c>
      <c r="B104" s="11" t="s">
        <v>20</v>
      </c>
      <c r="C104" s="11" t="s">
        <v>155</v>
      </c>
      <c r="D104" s="22" t="s">
        <v>154</v>
      </c>
      <c r="E104" s="12">
        <v>0</v>
      </c>
      <c r="F104" s="12">
        <v>0</v>
      </c>
      <c r="G104" s="13">
        <f>ROUND(E104*F104,2)</f>
        <v>0</v>
      </c>
    </row>
    <row r="105" spans="1:7" ht="180" x14ac:dyDescent="0.25">
      <c r="A105" s="14"/>
      <c r="B105" s="14"/>
      <c r="C105" s="14"/>
      <c r="D105" s="15" t="s">
        <v>156</v>
      </c>
      <c r="E105" s="14"/>
      <c r="F105" s="14"/>
      <c r="G105" s="14"/>
    </row>
    <row r="106" spans="1:7" x14ac:dyDescent="0.25">
      <c r="A106" s="11" t="s">
        <v>157</v>
      </c>
      <c r="B106" s="11" t="s">
        <v>20</v>
      </c>
      <c r="C106" s="11" t="s">
        <v>155</v>
      </c>
      <c r="D106" s="22" t="s">
        <v>158</v>
      </c>
      <c r="E106" s="12">
        <v>1</v>
      </c>
      <c r="F106" s="12">
        <v>0</v>
      </c>
      <c r="G106" s="13">
        <f>ROUND(E106*F106,2)</f>
        <v>0</v>
      </c>
    </row>
    <row r="107" spans="1:7" ht="191.25" x14ac:dyDescent="0.25">
      <c r="A107" s="14"/>
      <c r="B107" s="14"/>
      <c r="C107" s="14"/>
      <c r="D107" s="15" t="s">
        <v>159</v>
      </c>
      <c r="E107" s="14"/>
      <c r="F107" s="14"/>
      <c r="G107" s="14"/>
    </row>
    <row r="108" spans="1:7" x14ac:dyDescent="0.25">
      <c r="A108" s="11" t="s">
        <v>160</v>
      </c>
      <c r="B108" s="11" t="s">
        <v>20</v>
      </c>
      <c r="C108" s="11" t="s">
        <v>155</v>
      </c>
      <c r="D108" s="22" t="s">
        <v>161</v>
      </c>
      <c r="E108" s="12">
        <v>1</v>
      </c>
      <c r="F108" s="12">
        <v>0</v>
      </c>
      <c r="G108" s="13">
        <f>ROUND(E108*F108,2)</f>
        <v>0</v>
      </c>
    </row>
    <row r="109" spans="1:7" ht="180" x14ac:dyDescent="0.25">
      <c r="A109" s="14"/>
      <c r="B109" s="14"/>
      <c r="C109" s="14"/>
      <c r="D109" s="15" t="s">
        <v>162</v>
      </c>
      <c r="E109" s="14"/>
      <c r="F109" s="14"/>
      <c r="G109" s="14"/>
    </row>
    <row r="110" spans="1:7" x14ac:dyDescent="0.25">
      <c r="A110" s="11" t="s">
        <v>163</v>
      </c>
      <c r="B110" s="11" t="s">
        <v>20</v>
      </c>
      <c r="C110" s="11" t="s">
        <v>155</v>
      </c>
      <c r="D110" s="22" t="s">
        <v>164</v>
      </c>
      <c r="E110" s="12">
        <v>3</v>
      </c>
      <c r="F110" s="12">
        <v>0</v>
      </c>
      <c r="G110" s="13">
        <f>ROUND(E110*F110,2)</f>
        <v>0</v>
      </c>
    </row>
    <row r="111" spans="1:7" ht="22.5" x14ac:dyDescent="0.25">
      <c r="A111" s="14"/>
      <c r="B111" s="14"/>
      <c r="C111" s="14"/>
      <c r="D111" s="15" t="s">
        <v>165</v>
      </c>
      <c r="E111" s="14"/>
      <c r="F111" s="14"/>
      <c r="G111" s="14"/>
    </row>
    <row r="112" spans="1:7" x14ac:dyDescent="0.25">
      <c r="A112" s="14"/>
      <c r="B112" s="14"/>
      <c r="C112" s="14"/>
      <c r="D112" s="23" t="s">
        <v>166</v>
      </c>
      <c r="E112" s="12">
        <v>1</v>
      </c>
      <c r="F112" s="9">
        <f>G102+G104+G106+G108+G110</f>
        <v>0</v>
      </c>
      <c r="G112" s="9">
        <f>ROUND(F112*E112,2)</f>
        <v>0</v>
      </c>
    </row>
    <row r="113" spans="1:7" x14ac:dyDescent="0.25">
      <c r="A113" s="16"/>
      <c r="B113" s="16"/>
      <c r="C113" s="16"/>
      <c r="D113" s="24"/>
      <c r="E113" s="16"/>
      <c r="F113" s="16"/>
      <c r="G113" s="16"/>
    </row>
    <row r="114" spans="1:7" x14ac:dyDescent="0.25">
      <c r="A114" s="10" t="s">
        <v>167</v>
      </c>
      <c r="B114" s="10" t="s">
        <v>11</v>
      </c>
      <c r="C114" s="10" t="s">
        <v>15</v>
      </c>
      <c r="D114" s="21" t="s">
        <v>168</v>
      </c>
      <c r="E114" s="9">
        <f>E141</f>
        <v>1</v>
      </c>
      <c r="F114" s="9">
        <f>F141</f>
        <v>0</v>
      </c>
      <c r="G114" s="9">
        <f>G141</f>
        <v>0</v>
      </c>
    </row>
    <row r="115" spans="1:7" x14ac:dyDescent="0.25">
      <c r="A115" s="11" t="s">
        <v>169</v>
      </c>
      <c r="B115" s="11" t="s">
        <v>20</v>
      </c>
      <c r="C115" s="11" t="s">
        <v>92</v>
      </c>
      <c r="D115" s="22" t="s">
        <v>170</v>
      </c>
      <c r="E115" s="12">
        <v>19.2</v>
      </c>
      <c r="F115" s="12">
        <v>0</v>
      </c>
      <c r="G115" s="13">
        <f>ROUND(E115*F115,2)</f>
        <v>0</v>
      </c>
    </row>
    <row r="116" spans="1:7" ht="33.75" x14ac:dyDescent="0.25">
      <c r="A116" s="14"/>
      <c r="B116" s="14"/>
      <c r="C116" s="14"/>
      <c r="D116" s="15" t="s">
        <v>171</v>
      </c>
      <c r="E116" s="14"/>
      <c r="F116" s="14"/>
      <c r="G116" s="14"/>
    </row>
    <row r="117" spans="1:7" x14ac:dyDescent="0.25">
      <c r="A117" s="11" t="s">
        <v>172</v>
      </c>
      <c r="B117" s="11" t="s">
        <v>20</v>
      </c>
      <c r="C117" s="11" t="s">
        <v>92</v>
      </c>
      <c r="D117" s="22" t="s">
        <v>173</v>
      </c>
      <c r="E117" s="12">
        <v>45.6</v>
      </c>
      <c r="F117" s="12">
        <v>0</v>
      </c>
      <c r="G117" s="13">
        <f>ROUND(E117*F117,2)</f>
        <v>0</v>
      </c>
    </row>
    <row r="118" spans="1:7" ht="67.5" x14ac:dyDescent="0.25">
      <c r="A118" s="14"/>
      <c r="B118" s="14"/>
      <c r="C118" s="14"/>
      <c r="D118" s="15" t="s">
        <v>174</v>
      </c>
      <c r="E118" s="14"/>
      <c r="F118" s="14"/>
      <c r="G118" s="14"/>
    </row>
    <row r="119" spans="1:7" x14ac:dyDescent="0.25">
      <c r="A119" s="11" t="s">
        <v>175</v>
      </c>
      <c r="B119" s="11" t="s">
        <v>20</v>
      </c>
      <c r="C119" s="11" t="s">
        <v>92</v>
      </c>
      <c r="D119" s="22" t="s">
        <v>176</v>
      </c>
      <c r="E119" s="12">
        <v>19.2</v>
      </c>
      <c r="F119" s="12">
        <v>0</v>
      </c>
      <c r="G119" s="13">
        <f>ROUND(E119*F119,2)</f>
        <v>0</v>
      </c>
    </row>
    <row r="120" spans="1:7" ht="67.5" x14ac:dyDescent="0.25">
      <c r="A120" s="14"/>
      <c r="B120" s="14"/>
      <c r="C120" s="14"/>
      <c r="D120" s="15" t="s">
        <v>177</v>
      </c>
      <c r="E120" s="14"/>
      <c r="F120" s="14"/>
      <c r="G120" s="14"/>
    </row>
    <row r="121" spans="1:7" x14ac:dyDescent="0.25">
      <c r="A121" s="11" t="s">
        <v>178</v>
      </c>
      <c r="B121" s="11" t="s">
        <v>20</v>
      </c>
      <c r="C121" s="11" t="s">
        <v>92</v>
      </c>
      <c r="D121" s="22" t="s">
        <v>179</v>
      </c>
      <c r="E121" s="12">
        <v>45.6</v>
      </c>
      <c r="F121" s="12">
        <v>0</v>
      </c>
      <c r="G121" s="13">
        <f>ROUND(E121*F121,2)</f>
        <v>0</v>
      </c>
    </row>
    <row r="122" spans="1:7" ht="67.5" x14ac:dyDescent="0.25">
      <c r="A122" s="14"/>
      <c r="B122" s="14"/>
      <c r="C122" s="14"/>
      <c r="D122" s="15" t="s">
        <v>180</v>
      </c>
      <c r="E122" s="14"/>
      <c r="F122" s="14"/>
      <c r="G122" s="14"/>
    </row>
    <row r="123" spans="1:7" x14ac:dyDescent="0.25">
      <c r="A123" s="11" t="s">
        <v>181</v>
      </c>
      <c r="B123" s="11" t="s">
        <v>20</v>
      </c>
      <c r="C123" s="11" t="s">
        <v>12</v>
      </c>
      <c r="D123" s="22" t="s">
        <v>182</v>
      </c>
      <c r="E123" s="12">
        <v>3</v>
      </c>
      <c r="F123" s="12">
        <v>0</v>
      </c>
      <c r="G123" s="13">
        <f>ROUND(E123*F123,2)</f>
        <v>0</v>
      </c>
    </row>
    <row r="124" spans="1:7" ht="56.25" x14ac:dyDescent="0.25">
      <c r="A124" s="14"/>
      <c r="B124" s="14"/>
      <c r="C124" s="14"/>
      <c r="D124" s="15" t="s">
        <v>183</v>
      </c>
      <c r="E124" s="14"/>
      <c r="F124" s="14"/>
      <c r="G124" s="14"/>
    </row>
    <row r="125" spans="1:7" x14ac:dyDescent="0.25">
      <c r="A125" s="11" t="s">
        <v>184</v>
      </c>
      <c r="B125" s="11" t="s">
        <v>20</v>
      </c>
      <c r="C125" s="11" t="s">
        <v>12</v>
      </c>
      <c r="D125" s="22" t="s">
        <v>185</v>
      </c>
      <c r="E125" s="12">
        <v>0</v>
      </c>
      <c r="F125" s="12">
        <v>0</v>
      </c>
      <c r="G125" s="13">
        <f>ROUND(E125*F125,2)</f>
        <v>0</v>
      </c>
    </row>
    <row r="126" spans="1:7" ht="45" x14ac:dyDescent="0.25">
      <c r="A126" s="14"/>
      <c r="B126" s="14"/>
      <c r="C126" s="14"/>
      <c r="D126" s="15" t="s">
        <v>186</v>
      </c>
      <c r="E126" s="14"/>
      <c r="F126" s="14"/>
      <c r="G126" s="14"/>
    </row>
    <row r="127" spans="1:7" x14ac:dyDescent="0.25">
      <c r="A127" s="11" t="s">
        <v>187</v>
      </c>
      <c r="B127" s="11" t="s">
        <v>20</v>
      </c>
      <c r="C127" s="11" t="s">
        <v>12</v>
      </c>
      <c r="D127" s="22" t="s">
        <v>188</v>
      </c>
      <c r="E127" s="12">
        <v>0</v>
      </c>
      <c r="F127" s="12">
        <v>0</v>
      </c>
      <c r="G127" s="13">
        <f>ROUND(E127*F127,2)</f>
        <v>0</v>
      </c>
    </row>
    <row r="128" spans="1:7" ht="33.75" x14ac:dyDescent="0.25">
      <c r="A128" s="14"/>
      <c r="B128" s="14"/>
      <c r="C128" s="14"/>
      <c r="D128" s="15" t="s">
        <v>189</v>
      </c>
      <c r="E128" s="14"/>
      <c r="F128" s="14"/>
      <c r="G128" s="14"/>
    </row>
    <row r="129" spans="1:7" x14ac:dyDescent="0.25">
      <c r="A129" s="11" t="s">
        <v>190</v>
      </c>
      <c r="B129" s="11" t="s">
        <v>20</v>
      </c>
      <c r="C129" s="11" t="s">
        <v>12</v>
      </c>
      <c r="D129" s="22" t="s">
        <v>191</v>
      </c>
      <c r="E129" s="12">
        <v>2</v>
      </c>
      <c r="F129" s="12">
        <v>0</v>
      </c>
      <c r="G129" s="13">
        <f>ROUND(E129*F129,2)</f>
        <v>0</v>
      </c>
    </row>
    <row r="130" spans="1:7" ht="33.75" x14ac:dyDescent="0.25">
      <c r="A130" s="14"/>
      <c r="B130" s="14"/>
      <c r="C130" s="14"/>
      <c r="D130" s="15" t="s">
        <v>192</v>
      </c>
      <c r="E130" s="14"/>
      <c r="F130" s="14"/>
      <c r="G130" s="14"/>
    </row>
    <row r="131" spans="1:7" x14ac:dyDescent="0.25">
      <c r="A131" s="11" t="s">
        <v>193</v>
      </c>
      <c r="B131" s="11" t="s">
        <v>20</v>
      </c>
      <c r="C131" s="11" t="s">
        <v>12</v>
      </c>
      <c r="D131" s="22" t="s">
        <v>194</v>
      </c>
      <c r="E131" s="12">
        <v>6</v>
      </c>
      <c r="F131" s="12">
        <v>0</v>
      </c>
      <c r="G131" s="13">
        <f>ROUND(E131*F131,2)</f>
        <v>0</v>
      </c>
    </row>
    <row r="132" spans="1:7" ht="33.75" x14ac:dyDescent="0.25">
      <c r="A132" s="14"/>
      <c r="B132" s="14"/>
      <c r="C132" s="14"/>
      <c r="D132" s="15" t="s">
        <v>195</v>
      </c>
      <c r="E132" s="14"/>
      <c r="F132" s="14"/>
      <c r="G132" s="14"/>
    </row>
    <row r="133" spans="1:7" x14ac:dyDescent="0.25">
      <c r="A133" s="11" t="s">
        <v>196</v>
      </c>
      <c r="B133" s="11" t="s">
        <v>20</v>
      </c>
      <c r="C133" s="11" t="s">
        <v>12</v>
      </c>
      <c r="D133" s="22" t="s">
        <v>197</v>
      </c>
      <c r="E133" s="12">
        <v>1</v>
      </c>
      <c r="F133" s="12">
        <v>0</v>
      </c>
      <c r="G133" s="13">
        <f>ROUND(E133*F133,2)</f>
        <v>0</v>
      </c>
    </row>
    <row r="134" spans="1:7" ht="56.25" x14ac:dyDescent="0.25">
      <c r="A134" s="14"/>
      <c r="B134" s="14"/>
      <c r="C134" s="14"/>
      <c r="D134" s="15" t="s">
        <v>198</v>
      </c>
      <c r="E134" s="14"/>
      <c r="F134" s="14"/>
      <c r="G134" s="14"/>
    </row>
    <row r="135" spans="1:7" x14ac:dyDescent="0.25">
      <c r="A135" s="11" t="s">
        <v>199</v>
      </c>
      <c r="B135" s="11" t="s">
        <v>20</v>
      </c>
      <c r="C135" s="11" t="s">
        <v>12</v>
      </c>
      <c r="D135" s="22" t="s">
        <v>200</v>
      </c>
      <c r="E135" s="12">
        <v>0</v>
      </c>
      <c r="F135" s="12">
        <v>0</v>
      </c>
      <c r="G135" s="13">
        <f>ROUND(E135*F135,2)</f>
        <v>0</v>
      </c>
    </row>
    <row r="136" spans="1:7" ht="22.5" x14ac:dyDescent="0.25">
      <c r="A136" s="14"/>
      <c r="B136" s="14"/>
      <c r="C136" s="14"/>
      <c r="D136" s="15" t="s">
        <v>201</v>
      </c>
      <c r="E136" s="14"/>
      <c r="F136" s="14"/>
      <c r="G136" s="14"/>
    </row>
    <row r="137" spans="1:7" x14ac:dyDescent="0.25">
      <c r="A137" s="11" t="s">
        <v>202</v>
      </c>
      <c r="B137" s="11" t="s">
        <v>20</v>
      </c>
      <c r="C137" s="11" t="s">
        <v>12</v>
      </c>
      <c r="D137" s="22" t="s">
        <v>203</v>
      </c>
      <c r="E137" s="12">
        <v>2</v>
      </c>
      <c r="F137" s="12">
        <v>0</v>
      </c>
      <c r="G137" s="13">
        <f>ROUND(E137*F137,2)</f>
        <v>0</v>
      </c>
    </row>
    <row r="138" spans="1:7" ht="45" x14ac:dyDescent="0.25">
      <c r="A138" s="14"/>
      <c r="B138" s="14"/>
      <c r="C138" s="14"/>
      <c r="D138" s="15" t="s">
        <v>204</v>
      </c>
      <c r="E138" s="14"/>
      <c r="F138" s="14"/>
      <c r="G138" s="14"/>
    </row>
    <row r="139" spans="1:7" x14ac:dyDescent="0.25">
      <c r="A139" s="11" t="s">
        <v>205</v>
      </c>
      <c r="B139" s="11" t="s">
        <v>20</v>
      </c>
      <c r="C139" s="11" t="s">
        <v>12</v>
      </c>
      <c r="D139" s="22" t="s">
        <v>206</v>
      </c>
      <c r="E139" s="12">
        <v>1</v>
      </c>
      <c r="F139" s="12">
        <v>0</v>
      </c>
      <c r="G139" s="13">
        <f>ROUND(E139*F139,2)</f>
        <v>0</v>
      </c>
    </row>
    <row r="140" spans="1:7" ht="67.5" x14ac:dyDescent="0.25">
      <c r="A140" s="14"/>
      <c r="B140" s="14"/>
      <c r="C140" s="14"/>
      <c r="D140" s="15" t="s">
        <v>207</v>
      </c>
      <c r="E140" s="14"/>
      <c r="F140" s="14"/>
      <c r="G140" s="14"/>
    </row>
    <row r="141" spans="1:7" x14ac:dyDescent="0.25">
      <c r="A141" s="14"/>
      <c r="B141" s="14"/>
      <c r="C141" s="14"/>
      <c r="D141" s="23" t="s">
        <v>208</v>
      </c>
      <c r="E141" s="12">
        <v>1</v>
      </c>
      <c r="F141" s="9">
        <f>G115+G117+G119+G121+G123+G125+G127+G129+G131+G133+G135+G137+G139</f>
        <v>0</v>
      </c>
      <c r="G141" s="9">
        <f>ROUND(F141*E141,2)</f>
        <v>0</v>
      </c>
    </row>
    <row r="142" spans="1:7" x14ac:dyDescent="0.25">
      <c r="A142" s="16"/>
      <c r="B142" s="16"/>
      <c r="C142" s="16"/>
      <c r="D142" s="24"/>
      <c r="E142" s="16"/>
      <c r="F142" s="16"/>
      <c r="G142" s="16"/>
    </row>
    <row r="143" spans="1:7" x14ac:dyDescent="0.25">
      <c r="A143" s="10" t="s">
        <v>209</v>
      </c>
      <c r="B143" s="10" t="s">
        <v>11</v>
      </c>
      <c r="C143" s="10" t="s">
        <v>15</v>
      </c>
      <c r="D143" s="21" t="s">
        <v>210</v>
      </c>
      <c r="E143" s="9">
        <f>E152</f>
        <v>1</v>
      </c>
      <c r="F143" s="9">
        <f>F152</f>
        <v>0</v>
      </c>
      <c r="G143" s="9">
        <f>G152</f>
        <v>0</v>
      </c>
    </row>
    <row r="144" spans="1:7" x14ac:dyDescent="0.25">
      <c r="A144" s="11" t="s">
        <v>211</v>
      </c>
      <c r="B144" s="11" t="s">
        <v>20</v>
      </c>
      <c r="C144" s="11" t="s">
        <v>12</v>
      </c>
      <c r="D144" s="22" t="s">
        <v>212</v>
      </c>
      <c r="E144" s="12">
        <v>3</v>
      </c>
      <c r="F144" s="12">
        <v>0</v>
      </c>
      <c r="G144" s="13">
        <f>ROUND(E144*F144,2)</f>
        <v>0</v>
      </c>
    </row>
    <row r="145" spans="1:7" ht="33.75" x14ac:dyDescent="0.25">
      <c r="A145" s="14"/>
      <c r="B145" s="14"/>
      <c r="C145" s="14"/>
      <c r="D145" s="15" t="s">
        <v>213</v>
      </c>
      <c r="E145" s="14"/>
      <c r="F145" s="14"/>
      <c r="G145" s="14"/>
    </row>
    <row r="146" spans="1:7" x14ac:dyDescent="0.25">
      <c r="A146" s="11" t="s">
        <v>90</v>
      </c>
      <c r="B146" s="11" t="s">
        <v>20</v>
      </c>
      <c r="C146" s="11" t="s">
        <v>92</v>
      </c>
      <c r="D146" s="22" t="s">
        <v>91</v>
      </c>
      <c r="E146" s="12">
        <v>24</v>
      </c>
      <c r="F146" s="12">
        <v>0</v>
      </c>
      <c r="G146" s="13">
        <f>ROUND(E146*F146,2)</f>
        <v>0</v>
      </c>
    </row>
    <row r="147" spans="1:7" ht="45" x14ac:dyDescent="0.25">
      <c r="A147" s="14"/>
      <c r="B147" s="14"/>
      <c r="C147" s="14"/>
      <c r="D147" s="15" t="s">
        <v>93</v>
      </c>
      <c r="E147" s="14"/>
      <c r="F147" s="14"/>
      <c r="G147" s="14"/>
    </row>
    <row r="148" spans="1:7" x14ac:dyDescent="0.25">
      <c r="A148" s="11" t="s">
        <v>87</v>
      </c>
      <c r="B148" s="11" t="s">
        <v>20</v>
      </c>
      <c r="C148" s="11" t="s">
        <v>12</v>
      </c>
      <c r="D148" s="22" t="s">
        <v>88</v>
      </c>
      <c r="E148" s="12">
        <v>3</v>
      </c>
      <c r="F148" s="12">
        <v>0</v>
      </c>
      <c r="G148" s="13">
        <f>ROUND(E148*F148,2)</f>
        <v>0</v>
      </c>
    </row>
    <row r="149" spans="1:7" ht="45" x14ac:dyDescent="0.25">
      <c r="A149" s="14"/>
      <c r="B149" s="14"/>
      <c r="C149" s="14"/>
      <c r="D149" s="15" t="s">
        <v>89</v>
      </c>
      <c r="E149" s="14"/>
      <c r="F149" s="14"/>
      <c r="G149" s="14"/>
    </row>
    <row r="150" spans="1:7" x14ac:dyDescent="0.25">
      <c r="A150" s="11" t="s">
        <v>94</v>
      </c>
      <c r="B150" s="11" t="s">
        <v>20</v>
      </c>
      <c r="C150" s="11" t="s">
        <v>12</v>
      </c>
      <c r="D150" s="22" t="s">
        <v>95</v>
      </c>
      <c r="E150" s="12">
        <v>3</v>
      </c>
      <c r="F150" s="12">
        <v>0</v>
      </c>
      <c r="G150" s="13">
        <f>ROUND(E150*F150,2)</f>
        <v>0</v>
      </c>
    </row>
    <row r="151" spans="1:7" ht="22.5" x14ac:dyDescent="0.25">
      <c r="A151" s="14"/>
      <c r="B151" s="14"/>
      <c r="C151" s="14"/>
      <c r="D151" s="15" t="s">
        <v>96</v>
      </c>
      <c r="E151" s="14"/>
      <c r="F151" s="14"/>
      <c r="G151" s="14"/>
    </row>
    <row r="152" spans="1:7" x14ac:dyDescent="0.25">
      <c r="A152" s="14"/>
      <c r="B152" s="14"/>
      <c r="C152" s="14"/>
      <c r="D152" s="23" t="s">
        <v>214</v>
      </c>
      <c r="E152" s="12">
        <v>1</v>
      </c>
      <c r="F152" s="9">
        <f>G144+G146+G148+G150</f>
        <v>0</v>
      </c>
      <c r="G152" s="9">
        <f>ROUND(F152*E152,2)</f>
        <v>0</v>
      </c>
    </row>
    <row r="153" spans="1:7" x14ac:dyDescent="0.25">
      <c r="A153" s="16"/>
      <c r="B153" s="16"/>
      <c r="C153" s="16"/>
      <c r="D153" s="24"/>
      <c r="E153" s="16"/>
      <c r="F153" s="16"/>
      <c r="G153" s="16"/>
    </row>
    <row r="154" spans="1:7" x14ac:dyDescent="0.25">
      <c r="A154" s="10" t="s">
        <v>215</v>
      </c>
      <c r="B154" s="10" t="s">
        <v>11</v>
      </c>
      <c r="C154" s="10" t="s">
        <v>15</v>
      </c>
      <c r="D154" s="21" t="s">
        <v>216</v>
      </c>
      <c r="E154" s="9">
        <f>E163</f>
        <v>1</v>
      </c>
      <c r="F154" s="9">
        <f>F163</f>
        <v>0</v>
      </c>
      <c r="G154" s="9">
        <f>G163</f>
        <v>0</v>
      </c>
    </row>
    <row r="155" spans="1:7" x14ac:dyDescent="0.25">
      <c r="A155" s="11" t="s">
        <v>38</v>
      </c>
      <c r="B155" s="11" t="s">
        <v>20</v>
      </c>
      <c r="C155" s="11" t="s">
        <v>40</v>
      </c>
      <c r="D155" s="22" t="s">
        <v>39</v>
      </c>
      <c r="E155" s="12">
        <v>2.1</v>
      </c>
      <c r="F155" s="12">
        <v>0</v>
      </c>
      <c r="G155" s="13">
        <f>ROUND(E155*F155,2)</f>
        <v>0</v>
      </c>
    </row>
    <row r="156" spans="1:7" ht="123.75" x14ac:dyDescent="0.25">
      <c r="A156" s="14"/>
      <c r="B156" s="14"/>
      <c r="C156" s="14"/>
      <c r="D156" s="15" t="s">
        <v>41</v>
      </c>
      <c r="E156" s="14"/>
      <c r="F156" s="14"/>
      <c r="G156" s="14"/>
    </row>
    <row r="157" spans="1:7" x14ac:dyDescent="0.25">
      <c r="A157" s="11" t="s">
        <v>217</v>
      </c>
      <c r="B157" s="11" t="s">
        <v>20</v>
      </c>
      <c r="C157" s="11" t="s">
        <v>12</v>
      </c>
      <c r="D157" s="22" t="s">
        <v>218</v>
      </c>
      <c r="E157" s="12">
        <v>2</v>
      </c>
      <c r="F157" s="12">
        <v>0</v>
      </c>
      <c r="G157" s="13">
        <f>ROUND(E157*F157,2)</f>
        <v>0</v>
      </c>
    </row>
    <row r="158" spans="1:7" x14ac:dyDescent="0.25">
      <c r="A158" s="14"/>
      <c r="B158" s="14"/>
      <c r="C158" s="14"/>
      <c r="D158" s="15" t="s">
        <v>219</v>
      </c>
      <c r="E158" s="14"/>
      <c r="F158" s="14"/>
      <c r="G158" s="14"/>
    </row>
    <row r="159" spans="1:7" x14ac:dyDescent="0.25">
      <c r="A159" s="11" t="s">
        <v>131</v>
      </c>
      <c r="B159" s="11" t="s">
        <v>20</v>
      </c>
      <c r="C159" s="11" t="s">
        <v>12</v>
      </c>
      <c r="D159" s="22" t="s">
        <v>132</v>
      </c>
      <c r="E159" s="12">
        <v>1</v>
      </c>
      <c r="F159" s="12">
        <v>0</v>
      </c>
      <c r="G159" s="13">
        <f>ROUND(E159*F159,2)</f>
        <v>0</v>
      </c>
    </row>
    <row r="160" spans="1:7" x14ac:dyDescent="0.25">
      <c r="A160" s="14"/>
      <c r="B160" s="14"/>
      <c r="C160" s="14"/>
      <c r="D160" s="15" t="s">
        <v>133</v>
      </c>
      <c r="E160" s="14"/>
      <c r="F160" s="14"/>
      <c r="G160" s="14"/>
    </row>
    <row r="161" spans="1:7" x14ac:dyDescent="0.25">
      <c r="A161" s="11" t="s">
        <v>45</v>
      </c>
      <c r="B161" s="11" t="s">
        <v>20</v>
      </c>
      <c r="C161" s="11" t="s">
        <v>12</v>
      </c>
      <c r="D161" s="22" t="s">
        <v>46</v>
      </c>
      <c r="E161" s="12">
        <v>1</v>
      </c>
      <c r="F161" s="12">
        <v>0</v>
      </c>
      <c r="G161" s="13">
        <f>ROUND(E161*F161,2)</f>
        <v>0</v>
      </c>
    </row>
    <row r="162" spans="1:7" ht="33.75" x14ac:dyDescent="0.25">
      <c r="A162" s="14"/>
      <c r="B162" s="14"/>
      <c r="C162" s="14"/>
      <c r="D162" s="15" t="s">
        <v>47</v>
      </c>
      <c r="E162" s="14"/>
      <c r="F162" s="14"/>
      <c r="G162" s="14"/>
    </row>
    <row r="163" spans="1:7" x14ac:dyDescent="0.25">
      <c r="A163" s="14"/>
      <c r="B163" s="14"/>
      <c r="C163" s="14"/>
      <c r="D163" s="23" t="s">
        <v>220</v>
      </c>
      <c r="E163" s="12">
        <v>1</v>
      </c>
      <c r="F163" s="9">
        <f>G155+G157+G159+G161</f>
        <v>0</v>
      </c>
      <c r="G163" s="9">
        <f>ROUND(F163*E163,2)</f>
        <v>0</v>
      </c>
    </row>
    <row r="164" spans="1:7" x14ac:dyDescent="0.25">
      <c r="A164" s="16"/>
      <c r="B164" s="16"/>
      <c r="C164" s="16"/>
      <c r="D164" s="24"/>
      <c r="E164" s="16"/>
      <c r="F164" s="16"/>
      <c r="G164" s="16"/>
    </row>
    <row r="165" spans="1:7" x14ac:dyDescent="0.25">
      <c r="A165" s="14"/>
      <c r="B165" s="14"/>
      <c r="C165" s="14"/>
      <c r="D165" s="23" t="s">
        <v>140</v>
      </c>
      <c r="E165" s="17">
        <v>1</v>
      </c>
      <c r="F165" s="9">
        <f>G99+G112+G141+G152+G163</f>
        <v>0</v>
      </c>
      <c r="G165" s="9">
        <f>ROUND(F165*E165,2)</f>
        <v>0</v>
      </c>
    </row>
    <row r="166" spans="1:7" x14ac:dyDescent="0.25">
      <c r="A166" s="16"/>
      <c r="B166" s="16"/>
      <c r="C166" s="16"/>
      <c r="D166" s="24"/>
      <c r="E166" s="16"/>
      <c r="F166" s="16"/>
      <c r="G166" s="16"/>
    </row>
    <row r="167" spans="1:7" x14ac:dyDescent="0.25">
      <c r="A167" s="7" t="s">
        <v>221</v>
      </c>
      <c r="B167" s="7" t="s">
        <v>11</v>
      </c>
      <c r="C167" s="7" t="s">
        <v>15</v>
      </c>
      <c r="D167" s="20" t="s">
        <v>222</v>
      </c>
      <c r="E167" s="8">
        <f>E199</f>
        <v>1</v>
      </c>
      <c r="F167" s="9">
        <f>F199</f>
        <v>0</v>
      </c>
      <c r="G167" s="9">
        <f>G199</f>
        <v>0</v>
      </c>
    </row>
    <row r="168" spans="1:7" x14ac:dyDescent="0.25">
      <c r="A168" s="10" t="s">
        <v>223</v>
      </c>
      <c r="B168" s="10" t="s">
        <v>11</v>
      </c>
      <c r="C168" s="10" t="s">
        <v>15</v>
      </c>
      <c r="D168" s="21" t="s">
        <v>143</v>
      </c>
      <c r="E168" s="9">
        <f>E171</f>
        <v>1</v>
      </c>
      <c r="F168" s="9">
        <f>F171</f>
        <v>0</v>
      </c>
      <c r="G168" s="9">
        <f>G171</f>
        <v>0</v>
      </c>
    </row>
    <row r="169" spans="1:7" x14ac:dyDescent="0.25">
      <c r="A169" s="11" t="s">
        <v>144</v>
      </c>
      <c r="B169" s="11" t="s">
        <v>20</v>
      </c>
      <c r="C169" s="11" t="s">
        <v>12</v>
      </c>
      <c r="D169" s="22" t="s">
        <v>145</v>
      </c>
      <c r="E169" s="12">
        <v>0</v>
      </c>
      <c r="F169" s="12">
        <v>0</v>
      </c>
      <c r="G169" s="13">
        <f>ROUND(E169*F169,2)</f>
        <v>0</v>
      </c>
    </row>
    <row r="170" spans="1:7" ht="22.5" x14ac:dyDescent="0.25">
      <c r="A170" s="14"/>
      <c r="B170" s="14"/>
      <c r="C170" s="14"/>
      <c r="D170" s="15" t="s">
        <v>146</v>
      </c>
      <c r="E170" s="14"/>
      <c r="F170" s="14"/>
      <c r="G170" s="14"/>
    </row>
    <row r="171" spans="1:7" x14ac:dyDescent="0.25">
      <c r="A171" s="14"/>
      <c r="B171" s="14"/>
      <c r="C171" s="14"/>
      <c r="D171" s="23" t="s">
        <v>224</v>
      </c>
      <c r="E171" s="12">
        <v>1</v>
      </c>
      <c r="F171" s="9">
        <f>G169</f>
        <v>0</v>
      </c>
      <c r="G171" s="9">
        <f>ROUND(F171*E171,2)</f>
        <v>0</v>
      </c>
    </row>
    <row r="172" spans="1:7" x14ac:dyDescent="0.25">
      <c r="A172" s="16"/>
      <c r="B172" s="16"/>
      <c r="C172" s="16"/>
      <c r="D172" s="24"/>
      <c r="E172" s="16"/>
      <c r="F172" s="16"/>
      <c r="G172" s="16"/>
    </row>
    <row r="173" spans="1:7" x14ac:dyDescent="0.25">
      <c r="A173" s="10" t="s">
        <v>225</v>
      </c>
      <c r="B173" s="10" t="s">
        <v>11</v>
      </c>
      <c r="C173" s="10" t="s">
        <v>15</v>
      </c>
      <c r="D173" s="21" t="s">
        <v>149</v>
      </c>
      <c r="E173" s="9">
        <f>E178</f>
        <v>1</v>
      </c>
      <c r="F173" s="9">
        <f>F178</f>
        <v>0</v>
      </c>
      <c r="G173" s="9">
        <f>G178</f>
        <v>0</v>
      </c>
    </row>
    <row r="174" spans="1:7" x14ac:dyDescent="0.25">
      <c r="A174" s="11" t="s">
        <v>226</v>
      </c>
      <c r="B174" s="11" t="s">
        <v>20</v>
      </c>
      <c r="C174" s="11" t="s">
        <v>100</v>
      </c>
      <c r="D174" s="22" t="s">
        <v>227</v>
      </c>
      <c r="E174" s="12">
        <v>1</v>
      </c>
      <c r="F174" s="12">
        <v>0</v>
      </c>
      <c r="G174" s="13">
        <f>ROUND(E174*F174,2)</f>
        <v>0</v>
      </c>
    </row>
    <row r="175" spans="1:7" ht="168.75" x14ac:dyDescent="0.25">
      <c r="A175" s="14"/>
      <c r="B175" s="14"/>
      <c r="C175" s="14"/>
      <c r="D175" s="15" t="s">
        <v>249</v>
      </c>
      <c r="E175" s="14"/>
      <c r="F175" s="14"/>
      <c r="G175" s="14"/>
    </row>
    <row r="176" spans="1:7" x14ac:dyDescent="0.25">
      <c r="A176" s="11" t="s">
        <v>228</v>
      </c>
      <c r="B176" s="11" t="s">
        <v>20</v>
      </c>
      <c r="C176" s="11" t="s">
        <v>100</v>
      </c>
      <c r="D176" s="22" t="s">
        <v>229</v>
      </c>
      <c r="E176" s="12">
        <v>0</v>
      </c>
      <c r="F176" s="12">
        <v>0</v>
      </c>
      <c r="G176" s="13">
        <f>ROUND(E176*F176,2)</f>
        <v>0</v>
      </c>
    </row>
    <row r="177" spans="1:7" ht="180" x14ac:dyDescent="0.25">
      <c r="A177" s="14"/>
      <c r="B177" s="14"/>
      <c r="C177" s="14"/>
      <c r="D177" s="15" t="s">
        <v>230</v>
      </c>
      <c r="E177" s="14"/>
      <c r="F177" s="14"/>
      <c r="G177" s="14"/>
    </row>
    <row r="178" spans="1:7" x14ac:dyDescent="0.25">
      <c r="A178" s="14"/>
      <c r="B178" s="14"/>
      <c r="C178" s="14"/>
      <c r="D178" s="23" t="s">
        <v>231</v>
      </c>
      <c r="E178" s="12">
        <v>1</v>
      </c>
      <c r="F178" s="9">
        <f>G174+G176</f>
        <v>0</v>
      </c>
      <c r="G178" s="9">
        <f>ROUND(F178*E178,2)</f>
        <v>0</v>
      </c>
    </row>
    <row r="179" spans="1:7" x14ac:dyDescent="0.25">
      <c r="A179" s="16"/>
      <c r="B179" s="16"/>
      <c r="C179" s="16"/>
      <c r="D179" s="24"/>
      <c r="E179" s="16"/>
      <c r="F179" s="16"/>
      <c r="G179" s="16"/>
    </row>
    <row r="180" spans="1:7" x14ac:dyDescent="0.25">
      <c r="A180" s="10" t="s">
        <v>232</v>
      </c>
      <c r="B180" s="10" t="s">
        <v>11</v>
      </c>
      <c r="C180" s="10" t="s">
        <v>15</v>
      </c>
      <c r="D180" s="21" t="s">
        <v>168</v>
      </c>
      <c r="E180" s="18">
        <v>1</v>
      </c>
      <c r="F180" s="18">
        <v>0</v>
      </c>
      <c r="G180" s="18">
        <f>ROUND(E180*F180,2)</f>
        <v>0</v>
      </c>
    </row>
    <row r="181" spans="1:7" ht="33.75" x14ac:dyDescent="0.25">
      <c r="A181" s="14"/>
      <c r="B181" s="14"/>
      <c r="C181" s="14"/>
      <c r="D181" s="15" t="s">
        <v>233</v>
      </c>
      <c r="E181" s="14"/>
      <c r="F181" s="14"/>
      <c r="G181" s="14"/>
    </row>
    <row r="182" spans="1:7" x14ac:dyDescent="0.25">
      <c r="A182" s="10" t="s">
        <v>234</v>
      </c>
      <c r="B182" s="10" t="s">
        <v>11</v>
      </c>
      <c r="C182" s="10" t="s">
        <v>15</v>
      </c>
      <c r="D182" s="21" t="s">
        <v>210</v>
      </c>
      <c r="E182" s="18">
        <v>1</v>
      </c>
      <c r="F182" s="18">
        <v>0</v>
      </c>
      <c r="G182" s="18">
        <f>ROUND(E182*F182,2)</f>
        <v>0</v>
      </c>
    </row>
    <row r="183" spans="1:7" ht="22.5" x14ac:dyDescent="0.25">
      <c r="A183" s="14"/>
      <c r="B183" s="14"/>
      <c r="C183" s="14"/>
      <c r="D183" s="15" t="s">
        <v>235</v>
      </c>
      <c r="E183" s="14"/>
      <c r="F183" s="14"/>
      <c r="G183" s="14"/>
    </row>
    <row r="184" spans="1:7" x14ac:dyDescent="0.25">
      <c r="A184" s="10" t="s">
        <v>236</v>
      </c>
      <c r="B184" s="10" t="s">
        <v>11</v>
      </c>
      <c r="C184" s="10" t="s">
        <v>15</v>
      </c>
      <c r="D184" s="21" t="s">
        <v>216</v>
      </c>
      <c r="E184" s="9">
        <f>E197</f>
        <v>1</v>
      </c>
      <c r="F184" s="9">
        <f>F197</f>
        <v>0</v>
      </c>
      <c r="G184" s="9">
        <f>G197</f>
        <v>0</v>
      </c>
    </row>
    <row r="185" spans="1:7" x14ac:dyDescent="0.25">
      <c r="A185" s="11" t="s">
        <v>38</v>
      </c>
      <c r="B185" s="11" t="s">
        <v>20</v>
      </c>
      <c r="C185" s="11" t="s">
        <v>40</v>
      </c>
      <c r="D185" s="22" t="s">
        <v>39</v>
      </c>
      <c r="E185" s="12">
        <v>5.85</v>
      </c>
      <c r="F185" s="12">
        <v>0</v>
      </c>
      <c r="G185" s="13">
        <f>ROUND(E185*F185,2)</f>
        <v>0</v>
      </c>
    </row>
    <row r="186" spans="1:7" ht="123.75" x14ac:dyDescent="0.25">
      <c r="A186" s="14"/>
      <c r="B186" s="14"/>
      <c r="C186" s="14"/>
      <c r="D186" s="15" t="s">
        <v>41</v>
      </c>
      <c r="E186" s="14"/>
      <c r="F186" s="14"/>
      <c r="G186" s="14"/>
    </row>
    <row r="187" spans="1:7" x14ac:dyDescent="0.25">
      <c r="A187" s="11" t="s">
        <v>237</v>
      </c>
      <c r="B187" s="11" t="s">
        <v>20</v>
      </c>
      <c r="C187" s="11" t="s">
        <v>92</v>
      </c>
      <c r="D187" s="22" t="s">
        <v>238</v>
      </c>
      <c r="E187" s="12">
        <v>0</v>
      </c>
      <c r="F187" s="12">
        <v>0</v>
      </c>
      <c r="G187" s="13">
        <f>ROUND(E187*F187,2)</f>
        <v>0</v>
      </c>
    </row>
    <row r="188" spans="1:7" ht="33.75" x14ac:dyDescent="0.25">
      <c r="A188" s="14"/>
      <c r="B188" s="14"/>
      <c r="C188" s="14"/>
      <c r="D188" s="15" t="s">
        <v>239</v>
      </c>
      <c r="E188" s="14"/>
      <c r="F188" s="14"/>
      <c r="G188" s="14"/>
    </row>
    <row r="189" spans="1:7" x14ac:dyDescent="0.25">
      <c r="A189" s="11" t="s">
        <v>240</v>
      </c>
      <c r="B189" s="11" t="s">
        <v>20</v>
      </c>
      <c r="C189" s="11" t="s">
        <v>36</v>
      </c>
      <c r="D189" s="22" t="s">
        <v>241</v>
      </c>
      <c r="E189" s="12">
        <v>0</v>
      </c>
      <c r="F189" s="12">
        <v>0</v>
      </c>
      <c r="G189" s="13">
        <f>ROUND(E189*F189,2)</f>
        <v>0</v>
      </c>
    </row>
    <row r="190" spans="1:7" ht="45" x14ac:dyDescent="0.25">
      <c r="A190" s="14"/>
      <c r="B190" s="14"/>
      <c r="C190" s="14"/>
      <c r="D190" s="15" t="s">
        <v>242</v>
      </c>
      <c r="E190" s="14"/>
      <c r="F190" s="14"/>
      <c r="G190" s="14"/>
    </row>
    <row r="191" spans="1:7" x14ac:dyDescent="0.25">
      <c r="A191" s="11" t="s">
        <v>217</v>
      </c>
      <c r="B191" s="11" t="s">
        <v>20</v>
      </c>
      <c r="C191" s="11" t="s">
        <v>12</v>
      </c>
      <c r="D191" s="22" t="s">
        <v>218</v>
      </c>
      <c r="E191" s="12">
        <v>3</v>
      </c>
      <c r="F191" s="12">
        <v>0</v>
      </c>
      <c r="G191" s="13">
        <f>ROUND(E191*F191,2)</f>
        <v>0</v>
      </c>
    </row>
    <row r="192" spans="1:7" x14ac:dyDescent="0.25">
      <c r="A192" s="14"/>
      <c r="B192" s="14"/>
      <c r="C192" s="14"/>
      <c r="D192" s="15" t="s">
        <v>219</v>
      </c>
      <c r="E192" s="14"/>
      <c r="F192" s="14"/>
      <c r="G192" s="14"/>
    </row>
    <row r="193" spans="1:7" x14ac:dyDescent="0.25">
      <c r="A193" s="11" t="s">
        <v>131</v>
      </c>
      <c r="B193" s="11" t="s">
        <v>20</v>
      </c>
      <c r="C193" s="11" t="s">
        <v>12</v>
      </c>
      <c r="D193" s="22" t="s">
        <v>132</v>
      </c>
      <c r="E193" s="12">
        <v>3</v>
      </c>
      <c r="F193" s="12">
        <v>0</v>
      </c>
      <c r="G193" s="13">
        <f>ROUND(E193*F193,2)</f>
        <v>0</v>
      </c>
    </row>
    <row r="194" spans="1:7" x14ac:dyDescent="0.25">
      <c r="A194" s="14"/>
      <c r="B194" s="14"/>
      <c r="C194" s="14"/>
      <c r="D194" s="15" t="s">
        <v>133</v>
      </c>
      <c r="E194" s="14"/>
      <c r="F194" s="14"/>
      <c r="G194" s="14"/>
    </row>
    <row r="195" spans="1:7" x14ac:dyDescent="0.25">
      <c r="A195" s="11" t="s">
        <v>243</v>
      </c>
      <c r="B195" s="11" t="s">
        <v>20</v>
      </c>
      <c r="C195" s="11" t="s">
        <v>100</v>
      </c>
      <c r="D195" s="22" t="s">
        <v>244</v>
      </c>
      <c r="E195" s="12">
        <v>6</v>
      </c>
      <c r="F195" s="12">
        <v>0</v>
      </c>
      <c r="G195" s="13">
        <f>ROUND(E195*F195,2)</f>
        <v>0</v>
      </c>
    </row>
    <row r="196" spans="1:7" ht="56.25" x14ac:dyDescent="0.25">
      <c r="A196" s="14"/>
      <c r="B196" s="14"/>
      <c r="C196" s="14"/>
      <c r="D196" s="15" t="s">
        <v>245</v>
      </c>
      <c r="E196" s="14"/>
      <c r="F196" s="14"/>
      <c r="G196" s="14"/>
    </row>
    <row r="197" spans="1:7" x14ac:dyDescent="0.25">
      <c r="A197" s="14"/>
      <c r="B197" s="14"/>
      <c r="C197" s="14"/>
      <c r="D197" s="23" t="s">
        <v>246</v>
      </c>
      <c r="E197" s="12">
        <v>1</v>
      </c>
      <c r="F197" s="9">
        <f>G185+G187+G189+G191+G193+G195</f>
        <v>0</v>
      </c>
      <c r="G197" s="9">
        <f>ROUND(F197*E197,2)</f>
        <v>0</v>
      </c>
    </row>
    <row r="198" spans="1:7" x14ac:dyDescent="0.25">
      <c r="A198" s="16"/>
      <c r="B198" s="16"/>
      <c r="C198" s="16"/>
      <c r="D198" s="24"/>
      <c r="E198" s="16"/>
      <c r="F198" s="16"/>
      <c r="G198" s="16"/>
    </row>
    <row r="199" spans="1:7" x14ac:dyDescent="0.25">
      <c r="A199" s="14"/>
      <c r="B199" s="14"/>
      <c r="C199" s="14"/>
      <c r="D199" s="23" t="s">
        <v>247</v>
      </c>
      <c r="E199" s="17">
        <v>1</v>
      </c>
      <c r="F199" s="9">
        <f>G171+G178+G180+G182+G197</f>
        <v>0</v>
      </c>
      <c r="G199" s="9">
        <f>ROUND(F199*E199,2)</f>
        <v>0</v>
      </c>
    </row>
    <row r="200" spans="1:7" x14ac:dyDescent="0.25">
      <c r="A200" s="16"/>
      <c r="B200" s="16"/>
      <c r="C200" s="16"/>
      <c r="D200" s="24"/>
      <c r="E200" s="16"/>
      <c r="F200" s="16"/>
      <c r="G200" s="16"/>
    </row>
    <row r="201" spans="1:7" x14ac:dyDescent="0.25">
      <c r="A201" s="14"/>
      <c r="B201" s="14"/>
      <c r="C201" s="14"/>
      <c r="D201" s="23" t="s">
        <v>248</v>
      </c>
      <c r="E201" s="17">
        <v>1</v>
      </c>
      <c r="F201" s="9">
        <f>G92+G165+G199</f>
        <v>0</v>
      </c>
      <c r="G201" s="9">
        <f>ROUND(F201*E201,2)</f>
        <v>0</v>
      </c>
    </row>
    <row r="202" spans="1:7" x14ac:dyDescent="0.25">
      <c r="A202" s="14"/>
      <c r="B202" s="14"/>
      <c r="C202" s="14"/>
      <c r="D202" s="15"/>
      <c r="E202" s="14"/>
      <c r="F202" s="14"/>
      <c r="G202" s="14"/>
    </row>
  </sheetData>
  <dataValidations count="1">
    <dataValidation type="list" allowBlank="1" showInputMessage="1" showErrorMessage="1" sqref="B4:B202" xr:uid="{FF126691-39EC-4DBD-B986-99F1822CCAD4}">
      <formula1>"Capítulo,Partida,Mano de obra,Maquinaria,Material,Otros,"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Tomeu</dc:creator>
  <cp:lastModifiedBy>Tomeu</cp:lastModifiedBy>
  <dcterms:created xsi:type="dcterms:W3CDTF">2026-03-15T18:50:40Z</dcterms:created>
  <dcterms:modified xsi:type="dcterms:W3CDTF">2026-03-15T18:52:51Z</dcterms:modified>
</cp:coreProperties>
</file>