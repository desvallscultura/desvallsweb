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INST. GENERALS HOTEL\"/>
    </mc:Choice>
  </mc:AlternateContent>
  <bookViews>
    <workbookView xWindow="0" yWindow="0" windowWidth="24120" windowHeight="11445"/>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46" i="1" l="1"/>
  <c r="L146" i="1"/>
  <c r="M4" i="1"/>
  <c r="M144" i="1"/>
  <c r="K4" i="1"/>
  <c r="L4" i="1"/>
  <c r="L144" i="1"/>
  <c r="M6" i="1"/>
  <c r="M142" i="1"/>
  <c r="K6" i="1"/>
  <c r="L6" i="1"/>
  <c r="L142" i="1"/>
  <c r="M126" i="1"/>
  <c r="M140" i="1"/>
  <c r="K126" i="1"/>
  <c r="K140" i="1"/>
  <c r="L126" i="1"/>
  <c r="J139" i="1"/>
  <c r="J138" i="1"/>
  <c r="J137" i="1"/>
  <c r="J136" i="1"/>
  <c r="J135" i="1"/>
  <c r="J134" i="1"/>
  <c r="J133" i="1"/>
  <c r="J132" i="1"/>
  <c r="J131" i="1"/>
  <c r="J130" i="1"/>
  <c r="J129" i="1"/>
  <c r="J128" i="1"/>
  <c r="M110" i="1"/>
  <c r="M124" i="1"/>
  <c r="K110" i="1"/>
  <c r="K124" i="1"/>
  <c r="L110" i="1"/>
  <c r="J123" i="1"/>
  <c r="J122" i="1"/>
  <c r="J121" i="1"/>
  <c r="J120" i="1"/>
  <c r="J119" i="1"/>
  <c r="J118" i="1"/>
  <c r="J117" i="1"/>
  <c r="J116" i="1"/>
  <c r="J115" i="1"/>
  <c r="J114" i="1"/>
  <c r="J113" i="1"/>
  <c r="J112" i="1"/>
  <c r="M93" i="1"/>
  <c r="M108" i="1"/>
  <c r="K93" i="1"/>
  <c r="K108" i="1"/>
  <c r="L93" i="1"/>
  <c r="J107" i="1"/>
  <c r="J106" i="1"/>
  <c r="J105" i="1"/>
  <c r="J104" i="1"/>
  <c r="J103" i="1"/>
  <c r="J102" i="1"/>
  <c r="J101" i="1"/>
  <c r="J100" i="1"/>
  <c r="J99" i="1"/>
  <c r="J98" i="1"/>
  <c r="J97" i="1"/>
  <c r="J96" i="1"/>
  <c r="J95" i="1"/>
  <c r="M77" i="1"/>
  <c r="M91" i="1"/>
  <c r="K77" i="1"/>
  <c r="K91" i="1"/>
  <c r="L77" i="1"/>
  <c r="J90" i="1"/>
  <c r="J89" i="1"/>
  <c r="J88" i="1"/>
  <c r="J87" i="1"/>
  <c r="J86" i="1"/>
  <c r="J85" i="1"/>
  <c r="J84" i="1"/>
  <c r="J83" i="1"/>
  <c r="J82" i="1"/>
  <c r="J81" i="1"/>
  <c r="J80" i="1"/>
  <c r="J79" i="1"/>
  <c r="M61" i="1"/>
  <c r="M75" i="1"/>
  <c r="K61" i="1"/>
  <c r="K75" i="1"/>
  <c r="L61" i="1"/>
  <c r="J74" i="1"/>
  <c r="J73" i="1"/>
  <c r="J72" i="1"/>
  <c r="J71" i="1"/>
  <c r="J70" i="1"/>
  <c r="J69" i="1"/>
  <c r="J68" i="1"/>
  <c r="J67" i="1"/>
  <c r="J66" i="1"/>
  <c r="J65" i="1"/>
  <c r="J64" i="1"/>
  <c r="J63" i="1"/>
  <c r="M45" i="1"/>
  <c r="M59" i="1"/>
  <c r="K45" i="1"/>
  <c r="K59" i="1"/>
  <c r="L45" i="1"/>
  <c r="J58" i="1"/>
  <c r="J57" i="1"/>
  <c r="J56" i="1"/>
  <c r="J55" i="1"/>
  <c r="J54" i="1"/>
  <c r="J53" i="1"/>
  <c r="J52" i="1"/>
  <c r="J51" i="1"/>
  <c r="J50" i="1"/>
  <c r="J49" i="1"/>
  <c r="J48" i="1"/>
  <c r="J47" i="1"/>
  <c r="M29" i="1"/>
  <c r="M43" i="1"/>
  <c r="K29" i="1"/>
  <c r="K43" i="1"/>
  <c r="L29" i="1"/>
  <c r="J42" i="1"/>
  <c r="J41" i="1"/>
  <c r="J40" i="1"/>
  <c r="J39" i="1"/>
  <c r="J38" i="1"/>
  <c r="J37" i="1"/>
  <c r="J36" i="1"/>
  <c r="J35" i="1"/>
  <c r="J34" i="1"/>
  <c r="J33" i="1"/>
  <c r="J32" i="1"/>
  <c r="J31" i="1"/>
  <c r="M13" i="1"/>
  <c r="M27" i="1"/>
  <c r="K13" i="1"/>
  <c r="K27" i="1"/>
  <c r="L13" i="1"/>
  <c r="J26" i="1"/>
  <c r="J25" i="1"/>
  <c r="J24" i="1"/>
  <c r="J23" i="1"/>
  <c r="J22" i="1"/>
  <c r="J21" i="1"/>
  <c r="J20" i="1"/>
  <c r="J19" i="1"/>
  <c r="J18" i="1"/>
  <c r="J17" i="1"/>
  <c r="J16" i="1"/>
  <c r="J15" i="1"/>
  <c r="M8" i="1"/>
  <c r="M11" i="1"/>
  <c r="K8" i="1"/>
  <c r="K11" i="1"/>
  <c r="L8" i="1"/>
  <c r="J10" i="1"/>
</calcChain>
</file>

<file path=xl/sharedStrings.xml><?xml version="1.0" encoding="utf-8"?>
<sst xmlns="http://schemas.openxmlformats.org/spreadsheetml/2006/main" count="178" uniqueCount="74">
  <si>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</si>
  <si>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</si>
  <si>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</si>
  <si>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</si>
  <si>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</si>
  <si>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</si>
  <si>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</si>
  <si>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</si>
  <si>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</si>
  <si>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</si>
  <si>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</si>
  <si>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</si>
  <si>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</si>
  <si>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</si>
  <si>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</si>
  <si>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AA           </t>
  </si>
  <si>
    <t>INSTALACIÓN DE CLIMATIZACIÓN</t>
  </si>
  <si>
    <t>Capítulo</t>
  </si>
  <si>
    <t>u</t>
  </si>
  <si>
    <t xml:space="preserve">AA_GEN       </t>
  </si>
  <si>
    <t>GENERACIÓN CLIMATIZACIÓN</t>
  </si>
  <si>
    <t/>
  </si>
  <si>
    <t xml:space="preserve">TRABPREV0    </t>
  </si>
  <si>
    <t>TRABAJOS PREVIOS</t>
  </si>
  <si>
    <t>Partida</t>
  </si>
  <si>
    <t>Desmontaje de instalación existente de bombas de calor agua agua en sotano -2, tuberias, bombas, aislamiento e instalaciones mecánicas y eléctricas. Incluso transporte y valorización de residuos ante gestor de residuos, necesario entregar certificado de valorización de más del 70%.</t>
  </si>
  <si>
    <t>TRABPREV0</t>
  </si>
  <si>
    <t>EWYT040CZP-A2</t>
  </si>
  <si>
    <t>BOMBA DE CALOR DAIKIN EWYT040CZP-A2</t>
  </si>
  <si>
    <t xml:space="preserve">Suministro e instalación de Unidad enfriadora de agua bomba de calor INVERTER de condensación por aire con modulo hidraulico incoroprado (P), versión Bajo Nivel Sonoro (incluye encapsulado de compresores y regulación de ventiladores), marca DAIKIN, modelo EWYT040CZN-A2, con 2 compresores scroll inverter (dos circuitos totalm. independientes), válvula de expansión electrónica y refrigerante R-32, de 41,37 kW de potencia frigorífica nominal (EER 3,125) y 40,34 kW de potencia calorífica nominal (COP 3,383) según EN14511 y condiciones Eurovent. 
Dimensiones - Unidad - Profundidad x Altura x Anchura 2.306 x 1.878 x 814 mm
Conexión Modbus.
Incluso conexionado eléctrico e hidráulico, puesta en marcha y pp de accesorios y material necesario para su montaje, conexionado y soportación.
</t>
  </si>
  <si>
    <t>Bomba calor bloque principal plantas 1 y 2</t>
  </si>
  <si>
    <t>Bomba calor bloque principal plantas 2 y 3</t>
  </si>
  <si>
    <t>Bomba calor bloques A y B (mont. 1, 2, 3 y 4)</t>
  </si>
  <si>
    <t>Bomba calor bloque C (mont. 1 y 2)</t>
  </si>
  <si>
    <t>Bomba calor bloque D (mont. 1 y 2)</t>
  </si>
  <si>
    <t>Bomba calor bloques E y F (mont. 1, 2 y 3)</t>
  </si>
  <si>
    <t>Bomba calor bloques F y G (mont. 1, 2 y 3)</t>
  </si>
  <si>
    <t>Bomba calor bloques H y I (mont. 1, 2, 3 y 4)</t>
  </si>
  <si>
    <t>Bomba calor bloques M y N (mont. 1 y 2)</t>
  </si>
  <si>
    <t>Bomba calor bloques M y N (mont. 3 y 4)</t>
  </si>
  <si>
    <t>Bomba calor bloques J, K y L (mont. 1, 2 y 3)</t>
  </si>
  <si>
    <t>Bomba calor bloques J, K y L (mont. 4, 5 y 6)</t>
  </si>
  <si>
    <t>EWYT050CZP-A2</t>
  </si>
  <si>
    <t>BOMBA DE CALOR DAIKIN EWYT050CZP-A2</t>
  </si>
  <si>
    <t xml:space="preserve">Suministro e instalación de Unidad enfriadora de agua bomba de calor INVERTER de condensación por aire, con modulo hidraulico incoroprado (P), marca DAIKIN, modelo EWYT050CZP-A2, con 2 compresores scroll inverter (dos circuitos totalm. independientes), válvula de expansión electrónica y refrigerante R-32, de 50,75 kW de potencia frigorífica nominal (EER 2,985) y 49,84 kW de potencia calorífica nominal (COP 3,235) según EN14511 y condiciones Eurovent. 
Dimensiones - Unidad - Profundidad x Altura x Anchura 2.306 x 1.878 x 814 mm
Conexión Modbus.
Incluso conexionado eléctrico e hidráulico, puesta en marcha y pp de accesorios y material necesario para su montaje, conexionado y soportación.
</t>
  </si>
  <si>
    <t>Bomba calor bloques A y B (mont. 1, 2,3 y 4)</t>
  </si>
  <si>
    <t xml:space="preserve">OPTION 218   </t>
  </si>
  <si>
    <t>OPCIONAL Recuperación de calor parcial</t>
  </si>
  <si>
    <t>ud</t>
  </si>
  <si>
    <t xml:space="preserve">Opcional: Recuperación de calor parcial; incluso resistencia en el evaporador
Incluso conexionado, puesta en marcha y pp de accesorios y material necesario para su montaje, conexionado y soportación.
</t>
  </si>
  <si>
    <t>OPTION 218</t>
  </si>
  <si>
    <t xml:space="preserve">EKRSCTMS     </t>
  </si>
  <si>
    <t>OPCIONAL Sensor temperatura para configuración maestro/esclavo</t>
  </si>
  <si>
    <t xml:space="preserve">OPCIONAL Sensor temperatura para configuración maestro/esclavo
Incluso conexionado, puesta en marcha y pp de accesorios y material necesario para su montaje, conexionado y soportación.
</t>
  </si>
  <si>
    <t>EKRSCTMS</t>
  </si>
  <si>
    <t xml:space="preserve">EKRSCBMS     </t>
  </si>
  <si>
    <t>OPCIONAL Codigo activación de protocolo BMS</t>
  </si>
  <si>
    <t xml:space="preserve">OPCIONAL Conectividad para la comunicación BMS externa (Modbus TCP-IP, Bacnet TCP-IP y MSTP/IP), conexión Daikin on site, conexión Web HMI
Incluso conexionado, puesta en marcha y pp de accesorios y material necesario para su montaje, conexionado y soportación.
</t>
  </si>
  <si>
    <t>EKRSCBMS</t>
  </si>
  <si>
    <t xml:space="preserve">EKRSCIO      </t>
  </si>
  <si>
    <t>OPCIONAL Modulo adicional de Extensión de entradas y salidas</t>
  </si>
  <si>
    <t xml:space="preserve">OPCIONAL Modulo adicional de extensión de entradas y salidas, necesario para control de caudal variable a través de una señal externa, gestión del circuito de agua caliente sanitaria, límite de demanda, reinicio de punto de ajuste, control del modo low noise, doble punto de consigna.
Incluso conexionado, puesta en marcha y pp de accesorios y material necesario para su montaje, conexionado y soportación.
</t>
  </si>
  <si>
    <t>EKRSCIO</t>
  </si>
  <si>
    <t xml:space="preserve">EKRSCDP      </t>
  </si>
  <si>
    <t>OPCIONAL Transductor de presión diferencial</t>
  </si>
  <si>
    <t xml:space="preserve">OPCIONAL EKRSCDP - Transductor de presión diferencial
Incluso conexionado, puesta en marcha y pp de accesorios y material necesario para su montaje, conexionado y soportación.
</t>
  </si>
  <si>
    <t>EKRSCDP</t>
  </si>
  <si>
    <t xml:space="preserve">GRUA02       </t>
  </si>
  <si>
    <t>SERVICIO DE GRUA PARA COLOCACIÓN DE BOMBA DE CALOR</t>
  </si>
  <si>
    <t>Servicio de grúa móvil para elevación y colocación de la maquinaria en su lugar definitivo de instalación.</t>
  </si>
  <si>
    <t>GRUA02</t>
  </si>
  <si>
    <t>AA_GEN</t>
  </si>
  <si>
    <t>AA</t>
  </si>
  <si>
    <t>HEP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</si>
</sst>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0" fontId="3" fillId="0" borderId="0" xfId="0" applyFont="1" applyAlignment="1">
      <alignment vertical="top" wrapText="1"/>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7"/>
  <sheetViews>
    <sheetView tabSelected="1" workbookViewId="0">
      <pane xSplit="4" ySplit="3" topLeftCell="E4" activePane="bottomRight" state="frozen"/>
      <selection pane="topRight" activeCell="E1" sqref="E1"/>
      <selection pane="bottomLeft" activeCell="A4" sqref="A4"/>
      <selection pane="bottomRight"/>
    </sheetView>
  </sheetViews>
  <sheetFormatPr baseColWidth="10" defaultRowHeight="15" x14ac:dyDescent="0.25"/>
  <cols>
    <col min="1" max="1" width="15.5703125" bestFit="1" customWidth="1"/>
    <col min="2" max="2" width="6.5703125" customWidth="1"/>
    <col min="3" max="3" width="3.7109375" customWidth="1"/>
    <col min="4" max="4" width="82.28515625" customWidth="1"/>
    <col min="5" max="5" width="30.42578125" bestFit="1" customWidth="1"/>
    <col min="6" max="6" width="2.85546875" customWidth="1"/>
    <col min="7" max="7" width="8.5703125" customWidth="1"/>
    <col min="8" max="8" width="8.140625" customWidth="1"/>
    <col min="9" max="9" width="6.5703125" customWidth="1"/>
    <col min="10" max="10" width="12" bestFit="1" customWidth="1"/>
    <col min="11" max="11" width="7.85546875" customWidth="1"/>
    <col min="12" max="12" width="6.5703125" customWidth="1"/>
    <col min="13" max="13" width="7.7109375"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K144</f>
        <v>1</v>
      </c>
      <c r="L4" s="10">
        <f>L144</f>
        <v>0</v>
      </c>
      <c r="M4" s="10">
        <f>M144</f>
        <v>0</v>
      </c>
    </row>
    <row r="5" spans="1:13" x14ac:dyDescent="0.25">
      <c r="A5" s="11"/>
      <c r="B5" s="11"/>
      <c r="C5" s="11"/>
      <c r="D5" s="19"/>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K142</f>
        <v>1</v>
      </c>
      <c r="L6" s="10">
        <f>L142</f>
        <v>0</v>
      </c>
      <c r="M6" s="10">
        <f>M142</f>
        <v>0</v>
      </c>
    </row>
    <row r="7" spans="1:13" x14ac:dyDescent="0.25">
      <c r="A7" s="11"/>
      <c r="B7" s="11"/>
      <c r="C7" s="11"/>
      <c r="D7" s="19"/>
      <c r="E7" s="11"/>
      <c r="F7" s="11"/>
      <c r="G7" s="11"/>
      <c r="H7" s="11"/>
      <c r="I7" s="11"/>
      <c r="J7" s="11"/>
      <c r="K7" s="11"/>
      <c r="L7" s="11"/>
      <c r="M7" s="11"/>
    </row>
    <row r="8" spans="1:13" x14ac:dyDescent="0.25">
      <c r="A8" s="14" t="s">
        <v>22</v>
      </c>
      <c r="B8" s="14" t="s">
        <v>24</v>
      </c>
      <c r="C8" s="14" t="s">
        <v>18</v>
      </c>
      <c r="D8" s="24" t="s">
        <v>23</v>
      </c>
      <c r="E8" s="11"/>
      <c r="F8" s="11"/>
      <c r="G8" s="11"/>
      <c r="H8" s="11"/>
      <c r="I8" s="11"/>
      <c r="J8" s="11"/>
      <c r="K8" s="15">
        <f>K11</f>
        <v>1</v>
      </c>
      <c r="L8" s="15">
        <f>L11</f>
        <v>0</v>
      </c>
      <c r="M8" s="15">
        <f>M11</f>
        <v>0</v>
      </c>
    </row>
    <row r="9" spans="1:13" ht="78.75" x14ac:dyDescent="0.25">
      <c r="A9" s="11"/>
      <c r="B9" s="11"/>
      <c r="C9" s="11"/>
      <c r="D9" s="19" t="s">
        <v>25</v>
      </c>
      <c r="E9" s="11"/>
      <c r="F9" s="11"/>
      <c r="G9" s="11"/>
      <c r="H9" s="11"/>
      <c r="I9" s="11"/>
      <c r="J9" s="11"/>
      <c r="K9" s="11"/>
      <c r="L9" s="11"/>
      <c r="M9" s="11"/>
    </row>
    <row r="10" spans="1:13" x14ac:dyDescent="0.25">
      <c r="A10" s="11"/>
      <c r="B10" s="11"/>
      <c r="C10" s="11"/>
      <c r="D10" s="19"/>
      <c r="E10" s="14" t="s">
        <v>21</v>
      </c>
      <c r="F10" s="11">
        <v>1</v>
      </c>
      <c r="G10" s="16">
        <v>0</v>
      </c>
      <c r="H10" s="16">
        <v>0</v>
      </c>
      <c r="I10" s="16">
        <v>0</v>
      </c>
      <c r="J10" s="15">
        <f>F10*(G10+ (G10= 0))*(H10+ (H10= 0))*(I10+ (I10= 0))</f>
        <v>1</v>
      </c>
      <c r="K10" s="11"/>
      <c r="L10" s="11"/>
      <c r="M10" s="11"/>
    </row>
    <row r="11" spans="1:13" x14ac:dyDescent="0.25">
      <c r="A11" s="11"/>
      <c r="B11" s="11"/>
      <c r="C11" s="11"/>
      <c r="D11" s="19"/>
      <c r="E11" s="11"/>
      <c r="F11" s="11"/>
      <c r="G11" s="11"/>
      <c r="H11" s="11"/>
      <c r="I11" s="11"/>
      <c r="J11" s="17" t="s">
        <v>26</v>
      </c>
      <c r="K11" s="10">
        <f>SUM(J10:J10)</f>
        <v>1</v>
      </c>
      <c r="L11" s="16">
        <v>0</v>
      </c>
      <c r="M11" s="10">
        <f>ROUND(L11*K11,2)</f>
        <v>0</v>
      </c>
    </row>
    <row r="12" spans="1:13" ht="0.95" customHeight="1" x14ac:dyDescent="0.25">
      <c r="A12" s="18"/>
      <c r="B12" s="18"/>
      <c r="C12" s="18"/>
      <c r="D12" s="25"/>
      <c r="E12" s="18"/>
      <c r="F12" s="18"/>
      <c r="G12" s="18"/>
      <c r="H12" s="18"/>
      <c r="I12" s="18"/>
      <c r="J12" s="18"/>
      <c r="K12" s="18"/>
      <c r="L12" s="18"/>
      <c r="M12" s="18"/>
    </row>
    <row r="13" spans="1:13" x14ac:dyDescent="0.25">
      <c r="A13" s="14" t="s">
        <v>27</v>
      </c>
      <c r="B13" s="14" t="s">
        <v>24</v>
      </c>
      <c r="C13" s="14" t="s">
        <v>18</v>
      </c>
      <c r="D13" s="24" t="s">
        <v>28</v>
      </c>
      <c r="E13" s="11"/>
      <c r="F13" s="11"/>
      <c r="G13" s="11"/>
      <c r="H13" s="11"/>
      <c r="I13" s="11"/>
      <c r="J13" s="11"/>
      <c r="K13" s="15">
        <f>K27</f>
        <v>10</v>
      </c>
      <c r="L13" s="15">
        <f>L27</f>
        <v>0</v>
      </c>
      <c r="M13" s="15">
        <f>M27</f>
        <v>0</v>
      </c>
    </row>
    <row r="14" spans="1:13" ht="270" x14ac:dyDescent="0.25">
      <c r="A14" s="11"/>
      <c r="B14" s="11"/>
      <c r="C14" s="11"/>
      <c r="D14" s="19" t="s">
        <v>29</v>
      </c>
      <c r="E14" s="11"/>
      <c r="F14" s="11"/>
      <c r="G14" s="11"/>
      <c r="H14" s="11"/>
      <c r="I14" s="11"/>
      <c r="J14" s="11"/>
      <c r="K14" s="11"/>
      <c r="L14" s="11"/>
      <c r="M14" s="11"/>
    </row>
    <row r="15" spans="1:13" x14ac:dyDescent="0.25">
      <c r="A15" s="11"/>
      <c r="B15" s="11"/>
      <c r="C15" s="11"/>
      <c r="D15" s="19"/>
      <c r="E15" s="14" t="s">
        <v>30</v>
      </c>
      <c r="F15" s="11">
        <v>1</v>
      </c>
      <c r="G15" s="16">
        <v>0</v>
      </c>
      <c r="H15" s="16">
        <v>0</v>
      </c>
      <c r="I15" s="16">
        <v>0</v>
      </c>
      <c r="J15" s="15">
        <f>F15*(G15+ (G15= 0))*(H15+ (H15= 0))*(I15+ (I15= 0))</f>
        <v>1</v>
      </c>
      <c r="K15" s="11"/>
      <c r="L15" s="11"/>
      <c r="M15" s="11"/>
    </row>
    <row r="16" spans="1:13" x14ac:dyDescent="0.25">
      <c r="A16" s="11"/>
      <c r="B16" s="11"/>
      <c r="C16" s="11"/>
      <c r="D16" s="19"/>
      <c r="E16" s="14" t="s">
        <v>31</v>
      </c>
      <c r="F16" s="11">
        <v>1</v>
      </c>
      <c r="G16" s="16">
        <v>0</v>
      </c>
      <c r="H16" s="16">
        <v>0</v>
      </c>
      <c r="I16" s="16">
        <v>0</v>
      </c>
      <c r="J16" s="15">
        <f>F16*(G16+ (G16= 0))*(H16+ (H16= 0))*(I16+ (I16= 0))</f>
        <v>1</v>
      </c>
      <c r="K16" s="11"/>
      <c r="L16" s="11"/>
      <c r="M16" s="11"/>
    </row>
    <row r="17" spans="1:13" x14ac:dyDescent="0.25">
      <c r="A17" s="11"/>
      <c r="B17" s="11"/>
      <c r="C17" s="11"/>
      <c r="D17" s="19"/>
      <c r="E17" s="14" t="s">
        <v>32</v>
      </c>
      <c r="F17" s="11">
        <v>0</v>
      </c>
      <c r="G17" s="16">
        <v>0</v>
      </c>
      <c r="H17" s="16">
        <v>0</v>
      </c>
      <c r="I17" s="16">
        <v>0</v>
      </c>
      <c r="J17" s="15">
        <f>F17*(G17+ (G17= 0))*(H17+ (H17= 0))*(I17+ (I17= 0))</f>
        <v>0</v>
      </c>
      <c r="K17" s="11"/>
      <c r="L17" s="11"/>
      <c r="M17" s="11"/>
    </row>
    <row r="18" spans="1:13" x14ac:dyDescent="0.25">
      <c r="A18" s="11"/>
      <c r="B18" s="11"/>
      <c r="C18" s="11"/>
      <c r="D18" s="19"/>
      <c r="E18" s="14" t="s">
        <v>33</v>
      </c>
      <c r="F18" s="11">
        <v>1</v>
      </c>
      <c r="G18" s="16">
        <v>0</v>
      </c>
      <c r="H18" s="16">
        <v>0</v>
      </c>
      <c r="I18" s="16">
        <v>0</v>
      </c>
      <c r="J18" s="15">
        <f>F18*(G18+ (G18= 0))*(H18+ (H18= 0))*(I18+ (I18= 0))</f>
        <v>1</v>
      </c>
      <c r="K18" s="11"/>
      <c r="L18" s="11"/>
      <c r="M18" s="11"/>
    </row>
    <row r="19" spans="1:13" x14ac:dyDescent="0.25">
      <c r="A19" s="11"/>
      <c r="B19" s="11"/>
      <c r="C19" s="11"/>
      <c r="D19" s="19"/>
      <c r="E19" s="14" t="s">
        <v>34</v>
      </c>
      <c r="F19" s="11">
        <v>1</v>
      </c>
      <c r="G19" s="16">
        <v>0</v>
      </c>
      <c r="H19" s="16">
        <v>0</v>
      </c>
      <c r="I19" s="16">
        <v>0</v>
      </c>
      <c r="J19" s="15">
        <f>F19*(G19+ (G19= 0))*(H19+ (H19= 0))*(I19+ (I19= 0))</f>
        <v>1</v>
      </c>
      <c r="K19" s="11"/>
      <c r="L19" s="11"/>
      <c r="M19" s="11"/>
    </row>
    <row r="20" spans="1:13" x14ac:dyDescent="0.25">
      <c r="A20" s="11"/>
      <c r="B20" s="11"/>
      <c r="C20" s="11"/>
      <c r="D20" s="19"/>
      <c r="E20" s="14" t="s">
        <v>35</v>
      </c>
      <c r="F20" s="11">
        <v>1</v>
      </c>
      <c r="G20" s="16">
        <v>0</v>
      </c>
      <c r="H20" s="16">
        <v>0</v>
      </c>
      <c r="I20" s="16">
        <v>0</v>
      </c>
      <c r="J20" s="15">
        <f>F20*(G20+ (G20= 0))*(H20+ (H20= 0))*(I20+ (I20= 0))</f>
        <v>1</v>
      </c>
      <c r="K20" s="11"/>
      <c r="L20" s="11"/>
      <c r="M20" s="11"/>
    </row>
    <row r="21" spans="1:13" x14ac:dyDescent="0.25">
      <c r="A21" s="11"/>
      <c r="B21" s="11"/>
      <c r="C21" s="11"/>
      <c r="D21" s="19"/>
      <c r="E21" s="14" t="s">
        <v>36</v>
      </c>
      <c r="F21" s="11">
        <v>1</v>
      </c>
      <c r="G21" s="16">
        <v>0</v>
      </c>
      <c r="H21" s="16">
        <v>0</v>
      </c>
      <c r="I21" s="16">
        <v>0</v>
      </c>
      <c r="J21" s="15">
        <f>F21*(G21+ (G21= 0))*(H21+ (H21= 0))*(I21+ (I21= 0))</f>
        <v>1</v>
      </c>
      <c r="K21" s="11"/>
      <c r="L21" s="11"/>
      <c r="M21" s="11"/>
    </row>
    <row r="22" spans="1:13" x14ac:dyDescent="0.25">
      <c r="A22" s="11"/>
      <c r="B22" s="11"/>
      <c r="C22" s="11"/>
      <c r="D22" s="19"/>
      <c r="E22" s="14" t="s">
        <v>37</v>
      </c>
      <c r="F22" s="11">
        <v>0</v>
      </c>
      <c r="G22" s="16">
        <v>0</v>
      </c>
      <c r="H22" s="16">
        <v>0</v>
      </c>
      <c r="I22" s="16">
        <v>0</v>
      </c>
      <c r="J22" s="15">
        <f>F22*(G22+ (G22= 0))*(H22+ (H22= 0))*(I22+ (I22= 0))</f>
        <v>0</v>
      </c>
      <c r="K22" s="11"/>
      <c r="L22" s="11"/>
      <c r="M22" s="11"/>
    </row>
    <row r="23" spans="1:13" x14ac:dyDescent="0.25">
      <c r="A23" s="11"/>
      <c r="B23" s="11"/>
      <c r="C23" s="11"/>
      <c r="D23" s="19"/>
      <c r="E23" s="14" t="s">
        <v>38</v>
      </c>
      <c r="F23" s="11">
        <v>1</v>
      </c>
      <c r="G23" s="16">
        <v>0</v>
      </c>
      <c r="H23" s="16">
        <v>0</v>
      </c>
      <c r="I23" s="16">
        <v>0</v>
      </c>
      <c r="J23" s="15">
        <f>F23*(G23+ (G23= 0))*(H23+ (H23= 0))*(I23+ (I23= 0))</f>
        <v>1</v>
      </c>
      <c r="K23" s="11"/>
      <c r="L23" s="11"/>
      <c r="M23" s="11"/>
    </row>
    <row r="24" spans="1:13" x14ac:dyDescent="0.25">
      <c r="A24" s="11"/>
      <c r="B24" s="11"/>
      <c r="C24" s="11"/>
      <c r="D24" s="19"/>
      <c r="E24" s="14" t="s">
        <v>39</v>
      </c>
      <c r="F24" s="11">
        <v>1</v>
      </c>
      <c r="G24" s="16">
        <v>0</v>
      </c>
      <c r="H24" s="16">
        <v>0</v>
      </c>
      <c r="I24" s="16">
        <v>0</v>
      </c>
      <c r="J24" s="15">
        <f>F24*(G24+ (G24= 0))*(H24+ (H24= 0))*(I24+ (I24= 0))</f>
        <v>1</v>
      </c>
      <c r="K24" s="11"/>
      <c r="L24" s="11"/>
      <c r="M24" s="11"/>
    </row>
    <row r="25" spans="1:13" x14ac:dyDescent="0.25">
      <c r="A25" s="11"/>
      <c r="B25" s="11"/>
      <c r="C25" s="11"/>
      <c r="D25" s="19"/>
      <c r="E25" s="14" t="s">
        <v>40</v>
      </c>
      <c r="F25" s="11">
        <v>1</v>
      </c>
      <c r="G25" s="16">
        <v>0</v>
      </c>
      <c r="H25" s="16">
        <v>0</v>
      </c>
      <c r="I25" s="16">
        <v>0</v>
      </c>
      <c r="J25" s="15">
        <f>F25*(G25+ (G25= 0))*(H25+ (H25= 0))*(I25+ (I25= 0))</f>
        <v>1</v>
      </c>
      <c r="K25" s="11"/>
      <c r="L25" s="11"/>
      <c r="M25" s="11"/>
    </row>
    <row r="26" spans="1:13" x14ac:dyDescent="0.25">
      <c r="A26" s="11"/>
      <c r="B26" s="11"/>
      <c r="C26" s="11"/>
      <c r="D26" s="19"/>
      <c r="E26" s="14" t="s">
        <v>41</v>
      </c>
      <c r="F26" s="11">
        <v>1</v>
      </c>
      <c r="G26" s="16">
        <v>0</v>
      </c>
      <c r="H26" s="16">
        <v>0</v>
      </c>
      <c r="I26" s="16">
        <v>0</v>
      </c>
      <c r="J26" s="15">
        <f>F26*(G26+ (G26= 0))*(H26+ (H26= 0))*(I26+ (I26= 0))</f>
        <v>1</v>
      </c>
      <c r="K26" s="11"/>
      <c r="L26" s="11"/>
      <c r="M26" s="11"/>
    </row>
    <row r="27" spans="1:13" x14ac:dyDescent="0.25">
      <c r="A27" s="11"/>
      <c r="B27" s="11"/>
      <c r="C27" s="11"/>
      <c r="D27" s="19"/>
      <c r="E27" s="11"/>
      <c r="F27" s="11"/>
      <c r="G27" s="11"/>
      <c r="H27" s="11"/>
      <c r="I27" s="11"/>
      <c r="J27" s="17" t="s">
        <v>27</v>
      </c>
      <c r="K27" s="10">
        <f>SUM(J15:J26)</f>
        <v>10</v>
      </c>
      <c r="L27" s="16">
        <v>0</v>
      </c>
      <c r="M27" s="10">
        <f>ROUND(L27*K27,2)</f>
        <v>0</v>
      </c>
    </row>
    <row r="28" spans="1:13" ht="0.95" customHeight="1" x14ac:dyDescent="0.25">
      <c r="A28" s="18"/>
      <c r="B28" s="18"/>
      <c r="C28" s="18"/>
      <c r="D28" s="25"/>
      <c r="E28" s="18"/>
      <c r="F28" s="18"/>
      <c r="G28" s="18"/>
      <c r="H28" s="18"/>
      <c r="I28" s="18"/>
      <c r="J28" s="18"/>
      <c r="K28" s="18"/>
      <c r="L28" s="18"/>
      <c r="M28" s="18"/>
    </row>
    <row r="29" spans="1:13" x14ac:dyDescent="0.25">
      <c r="A29" s="14" t="s">
        <v>42</v>
      </c>
      <c r="B29" s="14" t="s">
        <v>24</v>
      </c>
      <c r="C29" s="14" t="s">
        <v>18</v>
      </c>
      <c r="D29" s="24" t="s">
        <v>43</v>
      </c>
      <c r="E29" s="11"/>
      <c r="F29" s="11"/>
      <c r="G29" s="11"/>
      <c r="H29" s="11"/>
      <c r="I29" s="11"/>
      <c r="J29" s="11"/>
      <c r="K29" s="15">
        <f>K43</f>
        <v>2</v>
      </c>
      <c r="L29" s="15">
        <f>L43</f>
        <v>0</v>
      </c>
      <c r="M29" s="15">
        <f>M43</f>
        <v>0</v>
      </c>
    </row>
    <row r="30" spans="1:13" ht="247.5" x14ac:dyDescent="0.25">
      <c r="A30" s="11"/>
      <c r="B30" s="11"/>
      <c r="C30" s="11"/>
      <c r="D30" s="19" t="s">
        <v>44</v>
      </c>
      <c r="E30" s="11"/>
      <c r="F30" s="11"/>
      <c r="G30" s="11"/>
      <c r="H30" s="11"/>
      <c r="I30" s="11"/>
      <c r="J30" s="11"/>
      <c r="K30" s="11"/>
      <c r="L30" s="11"/>
      <c r="M30" s="11"/>
    </row>
    <row r="31" spans="1:13" x14ac:dyDescent="0.25">
      <c r="A31" s="11"/>
      <c r="B31" s="11"/>
      <c r="C31" s="11"/>
      <c r="D31" s="19"/>
      <c r="E31" s="14" t="s">
        <v>30</v>
      </c>
      <c r="F31" s="11">
        <v>0</v>
      </c>
      <c r="G31" s="16">
        <v>0</v>
      </c>
      <c r="H31" s="16">
        <v>0</v>
      </c>
      <c r="I31" s="16">
        <v>0</v>
      </c>
      <c r="J31" s="15">
        <f>F31*(G31+ (G31= 0))*(H31+ (H31= 0))*(I31+ (I31= 0))</f>
        <v>0</v>
      </c>
      <c r="K31" s="11"/>
      <c r="L31" s="11"/>
      <c r="M31" s="11"/>
    </row>
    <row r="32" spans="1:13" x14ac:dyDescent="0.25">
      <c r="A32" s="11"/>
      <c r="B32" s="11"/>
      <c r="C32" s="11"/>
      <c r="D32" s="19"/>
      <c r="E32" s="14" t="s">
        <v>31</v>
      </c>
      <c r="F32" s="11">
        <v>0</v>
      </c>
      <c r="G32" s="16">
        <v>0</v>
      </c>
      <c r="H32" s="16">
        <v>0</v>
      </c>
      <c r="I32" s="16">
        <v>0</v>
      </c>
      <c r="J32" s="15">
        <f>F32*(G32+ (G32= 0))*(H32+ (H32= 0))*(I32+ (I32= 0))</f>
        <v>0</v>
      </c>
      <c r="K32" s="11"/>
      <c r="L32" s="11"/>
      <c r="M32" s="11"/>
    </row>
    <row r="33" spans="1:13" x14ac:dyDescent="0.25">
      <c r="A33" s="11"/>
      <c r="B33" s="11"/>
      <c r="C33" s="11"/>
      <c r="D33" s="19"/>
      <c r="E33" s="14" t="s">
        <v>45</v>
      </c>
      <c r="F33" s="11">
        <v>1</v>
      </c>
      <c r="G33" s="16">
        <v>0</v>
      </c>
      <c r="H33" s="16">
        <v>0</v>
      </c>
      <c r="I33" s="16">
        <v>0</v>
      </c>
      <c r="J33" s="15">
        <f>F33*(G33+ (G33= 0))*(H33+ (H33= 0))*(I33+ (I33= 0))</f>
        <v>1</v>
      </c>
      <c r="K33" s="11"/>
      <c r="L33" s="11"/>
      <c r="M33" s="11"/>
    </row>
    <row r="34" spans="1:13" x14ac:dyDescent="0.25">
      <c r="A34" s="11"/>
      <c r="B34" s="11"/>
      <c r="C34" s="11"/>
      <c r="D34" s="19"/>
      <c r="E34" s="14" t="s">
        <v>33</v>
      </c>
      <c r="F34" s="11">
        <v>0</v>
      </c>
      <c r="G34" s="16">
        <v>0</v>
      </c>
      <c r="H34" s="16">
        <v>0</v>
      </c>
      <c r="I34" s="16">
        <v>0</v>
      </c>
      <c r="J34" s="15">
        <f>F34*(G34+ (G34= 0))*(H34+ (H34= 0))*(I34+ (I34= 0))</f>
        <v>0</v>
      </c>
      <c r="K34" s="11"/>
      <c r="L34" s="11"/>
      <c r="M34" s="11"/>
    </row>
    <row r="35" spans="1:13" x14ac:dyDescent="0.25">
      <c r="A35" s="11"/>
      <c r="B35" s="11"/>
      <c r="C35" s="11"/>
      <c r="D35" s="19"/>
      <c r="E35" s="14" t="s">
        <v>34</v>
      </c>
      <c r="F35" s="11">
        <v>0</v>
      </c>
      <c r="G35" s="16">
        <v>0</v>
      </c>
      <c r="H35" s="16">
        <v>0</v>
      </c>
      <c r="I35" s="16">
        <v>0</v>
      </c>
      <c r="J35" s="15">
        <f>F35*(G35+ (G35= 0))*(H35+ (H35= 0))*(I35+ (I35= 0))</f>
        <v>0</v>
      </c>
      <c r="K35" s="11"/>
      <c r="L35" s="11"/>
      <c r="M35" s="11"/>
    </row>
    <row r="36" spans="1:13" x14ac:dyDescent="0.25">
      <c r="A36" s="11"/>
      <c r="B36" s="11"/>
      <c r="C36" s="11"/>
      <c r="D36" s="19"/>
      <c r="E36" s="14" t="s">
        <v>35</v>
      </c>
      <c r="F36" s="11">
        <v>0</v>
      </c>
      <c r="G36" s="16">
        <v>0</v>
      </c>
      <c r="H36" s="16">
        <v>0</v>
      </c>
      <c r="I36" s="16">
        <v>0</v>
      </c>
      <c r="J36" s="15">
        <f>F36*(G36+ (G36= 0))*(H36+ (H36= 0))*(I36+ (I36= 0))</f>
        <v>0</v>
      </c>
      <c r="K36" s="11"/>
      <c r="L36" s="11"/>
      <c r="M36" s="11"/>
    </row>
    <row r="37" spans="1:13" x14ac:dyDescent="0.25">
      <c r="A37" s="11"/>
      <c r="B37" s="11"/>
      <c r="C37" s="11"/>
      <c r="D37" s="19"/>
      <c r="E37" s="14" t="s">
        <v>36</v>
      </c>
      <c r="F37" s="11">
        <v>0</v>
      </c>
      <c r="G37" s="16">
        <v>0</v>
      </c>
      <c r="H37" s="16">
        <v>0</v>
      </c>
      <c r="I37" s="16">
        <v>0</v>
      </c>
      <c r="J37" s="15">
        <f>F37*(G37+ (G37= 0))*(H37+ (H37= 0))*(I37+ (I37= 0))</f>
        <v>0</v>
      </c>
      <c r="K37" s="11"/>
      <c r="L37" s="11"/>
      <c r="M37" s="11"/>
    </row>
    <row r="38" spans="1:13" x14ac:dyDescent="0.25">
      <c r="A38" s="11"/>
      <c r="B38" s="11"/>
      <c r="C38" s="11"/>
      <c r="D38" s="19"/>
      <c r="E38" s="14" t="s">
        <v>37</v>
      </c>
      <c r="F38" s="11">
        <v>1</v>
      </c>
      <c r="G38" s="16">
        <v>0</v>
      </c>
      <c r="H38" s="16">
        <v>0</v>
      </c>
      <c r="I38" s="16">
        <v>0</v>
      </c>
      <c r="J38" s="15">
        <f>F38*(G38+ (G38= 0))*(H38+ (H38= 0))*(I38+ (I38= 0))</f>
        <v>1</v>
      </c>
      <c r="K38" s="11"/>
      <c r="L38" s="11"/>
      <c r="M38" s="11"/>
    </row>
    <row r="39" spans="1:13" x14ac:dyDescent="0.25">
      <c r="A39" s="11"/>
      <c r="B39" s="11"/>
      <c r="C39" s="11"/>
      <c r="D39" s="19"/>
      <c r="E39" s="14" t="s">
        <v>38</v>
      </c>
      <c r="F39" s="11">
        <v>0</v>
      </c>
      <c r="G39" s="16">
        <v>0</v>
      </c>
      <c r="H39" s="16">
        <v>0</v>
      </c>
      <c r="I39" s="16">
        <v>0</v>
      </c>
      <c r="J39" s="15">
        <f>F39*(G39+ (G39= 0))*(H39+ (H39= 0))*(I39+ (I39= 0))</f>
        <v>0</v>
      </c>
      <c r="K39" s="11"/>
      <c r="L39" s="11"/>
      <c r="M39" s="11"/>
    </row>
    <row r="40" spans="1:13" x14ac:dyDescent="0.25">
      <c r="A40" s="11"/>
      <c r="B40" s="11"/>
      <c r="C40" s="11"/>
      <c r="D40" s="19"/>
      <c r="E40" s="14" t="s">
        <v>39</v>
      </c>
      <c r="F40" s="11">
        <v>0</v>
      </c>
      <c r="G40" s="16">
        <v>0</v>
      </c>
      <c r="H40" s="16">
        <v>0</v>
      </c>
      <c r="I40" s="16">
        <v>0</v>
      </c>
      <c r="J40" s="15">
        <f>F40*(G40+ (G40= 0))*(H40+ (H40= 0))*(I40+ (I40= 0))</f>
        <v>0</v>
      </c>
      <c r="K40" s="11"/>
      <c r="L40" s="11"/>
      <c r="M40" s="11"/>
    </row>
    <row r="41" spans="1:13" x14ac:dyDescent="0.25">
      <c r="A41" s="11"/>
      <c r="B41" s="11"/>
      <c r="C41" s="11"/>
      <c r="D41" s="19"/>
      <c r="E41" s="14" t="s">
        <v>40</v>
      </c>
      <c r="F41" s="11">
        <v>0</v>
      </c>
      <c r="G41" s="16">
        <v>0</v>
      </c>
      <c r="H41" s="16">
        <v>0</v>
      </c>
      <c r="I41" s="16">
        <v>0</v>
      </c>
      <c r="J41" s="15">
        <f>F41*(G41+ (G41= 0))*(H41+ (H41= 0))*(I41+ (I41= 0))</f>
        <v>0</v>
      </c>
      <c r="K41" s="11"/>
      <c r="L41" s="11"/>
      <c r="M41" s="11"/>
    </row>
    <row r="42" spans="1:13" x14ac:dyDescent="0.25">
      <c r="A42" s="11"/>
      <c r="B42" s="11"/>
      <c r="C42" s="11"/>
      <c r="D42" s="19"/>
      <c r="E42" s="14" t="s">
        <v>41</v>
      </c>
      <c r="F42" s="11">
        <v>0</v>
      </c>
      <c r="G42" s="16">
        <v>0</v>
      </c>
      <c r="H42" s="16">
        <v>0</v>
      </c>
      <c r="I42" s="16">
        <v>0</v>
      </c>
      <c r="J42" s="15">
        <f>F42*(G42+ (G42= 0))*(H42+ (H42= 0))*(I42+ (I42= 0))</f>
        <v>0</v>
      </c>
      <c r="K42" s="11"/>
      <c r="L42" s="11"/>
      <c r="M42" s="11"/>
    </row>
    <row r="43" spans="1:13" x14ac:dyDescent="0.25">
      <c r="A43" s="11"/>
      <c r="B43" s="11"/>
      <c r="C43" s="11"/>
      <c r="D43" s="19"/>
      <c r="E43" s="11"/>
      <c r="F43" s="11"/>
      <c r="G43" s="11"/>
      <c r="H43" s="11"/>
      <c r="I43" s="11"/>
      <c r="J43" s="17" t="s">
        <v>42</v>
      </c>
      <c r="K43" s="10">
        <f>SUM(J31:J42)</f>
        <v>2</v>
      </c>
      <c r="L43" s="16">
        <v>0</v>
      </c>
      <c r="M43" s="10">
        <f>ROUND(L43*K43,2)</f>
        <v>0</v>
      </c>
    </row>
    <row r="44" spans="1:13" ht="0.95" customHeight="1" x14ac:dyDescent="0.25">
      <c r="A44" s="18"/>
      <c r="B44" s="18"/>
      <c r="C44" s="18"/>
      <c r="D44" s="25"/>
      <c r="E44" s="18"/>
      <c r="F44" s="18"/>
      <c r="G44" s="18"/>
      <c r="H44" s="18"/>
      <c r="I44" s="18"/>
      <c r="J44" s="18"/>
      <c r="K44" s="18"/>
      <c r="L44" s="18"/>
      <c r="M44" s="18"/>
    </row>
    <row r="45" spans="1:13" x14ac:dyDescent="0.25">
      <c r="A45" s="14" t="s">
        <v>46</v>
      </c>
      <c r="B45" s="14" t="s">
        <v>24</v>
      </c>
      <c r="C45" s="14" t="s">
        <v>48</v>
      </c>
      <c r="D45" s="24" t="s">
        <v>47</v>
      </c>
      <c r="E45" s="11"/>
      <c r="F45" s="11"/>
      <c r="G45" s="11"/>
      <c r="H45" s="11"/>
      <c r="I45" s="11"/>
      <c r="J45" s="11"/>
      <c r="K45" s="15">
        <f>K59</f>
        <v>4</v>
      </c>
      <c r="L45" s="15">
        <f>L59</f>
        <v>0</v>
      </c>
      <c r="M45" s="15">
        <f>M59</f>
        <v>0</v>
      </c>
    </row>
    <row r="46" spans="1:13" ht="90" x14ac:dyDescent="0.25">
      <c r="A46" s="11"/>
      <c r="B46" s="11"/>
      <c r="C46" s="11"/>
      <c r="D46" s="19" t="s">
        <v>49</v>
      </c>
      <c r="E46" s="11"/>
      <c r="F46" s="11"/>
      <c r="G46" s="11"/>
      <c r="H46" s="11"/>
      <c r="I46" s="11"/>
      <c r="J46" s="11"/>
      <c r="K46" s="11"/>
      <c r="L46" s="11"/>
      <c r="M46" s="11"/>
    </row>
    <row r="47" spans="1:13" x14ac:dyDescent="0.25">
      <c r="A47" s="11"/>
      <c r="B47" s="11"/>
      <c r="C47" s="11"/>
      <c r="D47" s="19"/>
      <c r="E47" s="14" t="s">
        <v>30</v>
      </c>
      <c r="F47" s="11">
        <v>0</v>
      </c>
      <c r="G47" s="16">
        <v>0</v>
      </c>
      <c r="H47" s="16">
        <v>0</v>
      </c>
      <c r="I47" s="16">
        <v>0</v>
      </c>
      <c r="J47" s="15">
        <f>F47*(G47+ (G47= 0))*(H47+ (H47= 0))*(I47+ (I47= 0))</f>
        <v>0</v>
      </c>
      <c r="K47" s="11"/>
      <c r="L47" s="11"/>
      <c r="M47" s="11"/>
    </row>
    <row r="48" spans="1:13" x14ac:dyDescent="0.25">
      <c r="A48" s="11"/>
      <c r="B48" s="11"/>
      <c r="C48" s="11"/>
      <c r="D48" s="19"/>
      <c r="E48" s="14" t="s">
        <v>31</v>
      </c>
      <c r="F48" s="11">
        <v>0</v>
      </c>
      <c r="G48" s="16">
        <v>0</v>
      </c>
      <c r="H48" s="16">
        <v>0</v>
      </c>
      <c r="I48" s="16">
        <v>0</v>
      </c>
      <c r="J48" s="15">
        <f>F48*(G48+ (G48= 0))*(H48+ (H48= 0))*(I48+ (I48= 0))</f>
        <v>0</v>
      </c>
      <c r="K48" s="11"/>
      <c r="L48" s="11"/>
      <c r="M48" s="11"/>
    </row>
    <row r="49" spans="1:13" x14ac:dyDescent="0.25">
      <c r="A49" s="11"/>
      <c r="B49" s="11"/>
      <c r="C49" s="11"/>
      <c r="D49" s="19"/>
      <c r="E49" s="14" t="s">
        <v>32</v>
      </c>
      <c r="F49" s="11">
        <v>0</v>
      </c>
      <c r="G49" s="16">
        <v>0</v>
      </c>
      <c r="H49" s="16">
        <v>0</v>
      </c>
      <c r="I49" s="16">
        <v>0</v>
      </c>
      <c r="J49" s="15">
        <f>F49*(G49+ (G49= 0))*(H49+ (H49= 0))*(I49+ (I49= 0))</f>
        <v>0</v>
      </c>
      <c r="K49" s="11"/>
      <c r="L49" s="11"/>
      <c r="M49" s="11"/>
    </row>
    <row r="50" spans="1:13" x14ac:dyDescent="0.25">
      <c r="A50" s="11"/>
      <c r="B50" s="11"/>
      <c r="C50" s="11"/>
      <c r="D50" s="19"/>
      <c r="E50" s="14" t="s">
        <v>33</v>
      </c>
      <c r="F50" s="11">
        <v>0</v>
      </c>
      <c r="G50" s="16">
        <v>0</v>
      </c>
      <c r="H50" s="16">
        <v>0</v>
      </c>
      <c r="I50" s="16">
        <v>0</v>
      </c>
      <c r="J50" s="15">
        <f>F50*(G50+ (G50= 0))*(H50+ (H50= 0))*(I50+ (I50= 0))</f>
        <v>0</v>
      </c>
      <c r="K50" s="11"/>
      <c r="L50" s="11"/>
      <c r="M50" s="11"/>
    </row>
    <row r="51" spans="1:13" x14ac:dyDescent="0.25">
      <c r="A51" s="11"/>
      <c r="B51" s="11"/>
      <c r="C51" s="11"/>
      <c r="D51" s="19"/>
      <c r="E51" s="14" t="s">
        <v>34</v>
      </c>
      <c r="F51" s="11">
        <v>0</v>
      </c>
      <c r="G51" s="16">
        <v>0</v>
      </c>
      <c r="H51" s="16">
        <v>0</v>
      </c>
      <c r="I51" s="16">
        <v>0</v>
      </c>
      <c r="J51" s="15">
        <f>F51*(G51+ (G51= 0))*(H51+ (H51= 0))*(I51+ (I51= 0))</f>
        <v>0</v>
      </c>
      <c r="K51" s="11"/>
      <c r="L51" s="11"/>
      <c r="M51" s="11"/>
    </row>
    <row r="52" spans="1:13" x14ac:dyDescent="0.25">
      <c r="A52" s="11"/>
      <c r="B52" s="11"/>
      <c r="C52" s="11"/>
      <c r="D52" s="19"/>
      <c r="E52" s="14" t="s">
        <v>35</v>
      </c>
      <c r="F52" s="11">
        <v>0</v>
      </c>
      <c r="G52" s="16">
        <v>0</v>
      </c>
      <c r="H52" s="16">
        <v>0</v>
      </c>
      <c r="I52" s="16">
        <v>0</v>
      </c>
      <c r="J52" s="15">
        <f>F52*(G52+ (G52= 0))*(H52+ (H52= 0))*(I52+ (I52= 0))</f>
        <v>0</v>
      </c>
      <c r="K52" s="11"/>
      <c r="L52" s="11"/>
      <c r="M52" s="11"/>
    </row>
    <row r="53" spans="1:13" x14ac:dyDescent="0.25">
      <c r="A53" s="11"/>
      <c r="B53" s="11"/>
      <c r="C53" s="11"/>
      <c r="D53" s="19"/>
      <c r="E53" s="14" t="s">
        <v>36</v>
      </c>
      <c r="F53" s="11">
        <v>0</v>
      </c>
      <c r="G53" s="16">
        <v>0</v>
      </c>
      <c r="H53" s="16">
        <v>0</v>
      </c>
      <c r="I53" s="16">
        <v>0</v>
      </c>
      <c r="J53" s="15">
        <f>F53*(G53+ (G53= 0))*(H53+ (H53= 0))*(I53+ (I53= 0))</f>
        <v>0</v>
      </c>
      <c r="K53" s="11"/>
      <c r="L53" s="11"/>
      <c r="M53" s="11"/>
    </row>
    <row r="54" spans="1:13" x14ac:dyDescent="0.25">
      <c r="A54" s="11"/>
      <c r="B54" s="11"/>
      <c r="C54" s="11"/>
      <c r="D54" s="19"/>
      <c r="E54" s="14" t="s">
        <v>37</v>
      </c>
      <c r="F54" s="11">
        <v>0</v>
      </c>
      <c r="G54" s="16">
        <v>0</v>
      </c>
      <c r="H54" s="16">
        <v>0</v>
      </c>
      <c r="I54" s="16">
        <v>0</v>
      </c>
      <c r="J54" s="15">
        <f>F54*(G54+ (G54= 0))*(H54+ (H54= 0))*(I54+ (I54= 0))</f>
        <v>0</v>
      </c>
      <c r="K54" s="11"/>
      <c r="L54" s="11"/>
      <c r="M54" s="11"/>
    </row>
    <row r="55" spans="1:13" x14ac:dyDescent="0.25">
      <c r="A55" s="11"/>
      <c r="B55" s="11"/>
      <c r="C55" s="11"/>
      <c r="D55" s="19"/>
      <c r="E55" s="14" t="s">
        <v>38</v>
      </c>
      <c r="F55" s="11">
        <v>1</v>
      </c>
      <c r="G55" s="16">
        <v>0</v>
      </c>
      <c r="H55" s="16">
        <v>0</v>
      </c>
      <c r="I55" s="16">
        <v>0</v>
      </c>
      <c r="J55" s="15">
        <f>F55*(G55+ (G55= 0))*(H55+ (H55= 0))*(I55+ (I55= 0))</f>
        <v>1</v>
      </c>
      <c r="K55" s="11"/>
      <c r="L55" s="11"/>
      <c r="M55" s="11"/>
    </row>
    <row r="56" spans="1:13" x14ac:dyDescent="0.25">
      <c r="A56" s="11"/>
      <c r="B56" s="11"/>
      <c r="C56" s="11"/>
      <c r="D56" s="19"/>
      <c r="E56" s="14" t="s">
        <v>39</v>
      </c>
      <c r="F56" s="11">
        <v>1</v>
      </c>
      <c r="G56" s="16">
        <v>0</v>
      </c>
      <c r="H56" s="16">
        <v>0</v>
      </c>
      <c r="I56" s="16">
        <v>0</v>
      </c>
      <c r="J56" s="15">
        <f>F56*(G56+ (G56= 0))*(H56+ (H56= 0))*(I56+ (I56= 0))</f>
        <v>1</v>
      </c>
      <c r="K56" s="11"/>
      <c r="L56" s="11"/>
      <c r="M56" s="11"/>
    </row>
    <row r="57" spans="1:13" x14ac:dyDescent="0.25">
      <c r="A57" s="11"/>
      <c r="B57" s="11"/>
      <c r="C57" s="11"/>
      <c r="D57" s="19"/>
      <c r="E57" s="14" t="s">
        <v>40</v>
      </c>
      <c r="F57" s="11">
        <v>1</v>
      </c>
      <c r="G57" s="16">
        <v>0</v>
      </c>
      <c r="H57" s="16">
        <v>0</v>
      </c>
      <c r="I57" s="16">
        <v>0</v>
      </c>
      <c r="J57" s="15">
        <f>F57*(G57+ (G57= 0))*(H57+ (H57= 0))*(I57+ (I57= 0))</f>
        <v>1</v>
      </c>
      <c r="K57" s="11"/>
      <c r="L57" s="11"/>
      <c r="M57" s="11"/>
    </row>
    <row r="58" spans="1:13" x14ac:dyDescent="0.25">
      <c r="A58" s="11"/>
      <c r="B58" s="11"/>
      <c r="C58" s="11"/>
      <c r="D58" s="19"/>
      <c r="E58" s="14" t="s">
        <v>41</v>
      </c>
      <c r="F58" s="11">
        <v>1</v>
      </c>
      <c r="G58" s="16">
        <v>0</v>
      </c>
      <c r="H58" s="16">
        <v>0</v>
      </c>
      <c r="I58" s="16">
        <v>0</v>
      </c>
      <c r="J58" s="15">
        <f>F58*(G58+ (G58= 0))*(H58+ (H58= 0))*(I58+ (I58= 0))</f>
        <v>1</v>
      </c>
      <c r="K58" s="11"/>
      <c r="L58" s="11"/>
      <c r="M58" s="11"/>
    </row>
    <row r="59" spans="1:13" x14ac:dyDescent="0.25">
      <c r="A59" s="11"/>
      <c r="B59" s="11"/>
      <c r="C59" s="11"/>
      <c r="D59" s="19"/>
      <c r="E59" s="11"/>
      <c r="F59" s="11"/>
      <c r="G59" s="11"/>
      <c r="H59" s="11"/>
      <c r="I59" s="11"/>
      <c r="J59" s="17" t="s">
        <v>50</v>
      </c>
      <c r="K59" s="10">
        <f>SUM(J47:J58)</f>
        <v>4</v>
      </c>
      <c r="L59" s="16">
        <v>0</v>
      </c>
      <c r="M59" s="10">
        <f>ROUND(L59*K59,2)</f>
        <v>0</v>
      </c>
    </row>
    <row r="60" spans="1:13" ht="0.95" customHeight="1" x14ac:dyDescent="0.25">
      <c r="A60" s="18"/>
      <c r="B60" s="18"/>
      <c r="C60" s="18"/>
      <c r="D60" s="25"/>
      <c r="E60" s="18"/>
      <c r="F60" s="18"/>
      <c r="G60" s="18"/>
      <c r="H60" s="18"/>
      <c r="I60" s="18"/>
      <c r="J60" s="18"/>
      <c r="K60" s="18"/>
      <c r="L60" s="18"/>
      <c r="M60" s="18"/>
    </row>
    <row r="61" spans="1:13" ht="22.5" x14ac:dyDescent="0.25">
      <c r="A61" s="14" t="s">
        <v>51</v>
      </c>
      <c r="B61" s="14" t="s">
        <v>24</v>
      </c>
      <c r="C61" s="14" t="s">
        <v>48</v>
      </c>
      <c r="D61" s="24" t="s">
        <v>52</v>
      </c>
      <c r="E61" s="11"/>
      <c r="F61" s="11"/>
      <c r="G61" s="11"/>
      <c r="H61" s="11"/>
      <c r="I61" s="11"/>
      <c r="J61" s="11"/>
      <c r="K61" s="15">
        <f>K75</f>
        <v>8</v>
      </c>
      <c r="L61" s="15">
        <f>L75</f>
        <v>0</v>
      </c>
      <c r="M61" s="15">
        <f>M75</f>
        <v>0</v>
      </c>
    </row>
    <row r="62" spans="1:13" ht="78.75" x14ac:dyDescent="0.25">
      <c r="A62" s="11"/>
      <c r="B62" s="11"/>
      <c r="C62" s="11"/>
      <c r="D62" s="19" t="s">
        <v>53</v>
      </c>
      <c r="E62" s="11"/>
      <c r="F62" s="11"/>
      <c r="G62" s="11"/>
      <c r="H62" s="11"/>
      <c r="I62" s="11"/>
      <c r="J62" s="11"/>
      <c r="K62" s="11"/>
      <c r="L62" s="11"/>
      <c r="M62" s="11"/>
    </row>
    <row r="63" spans="1:13" x14ac:dyDescent="0.25">
      <c r="A63" s="11"/>
      <c r="B63" s="11"/>
      <c r="C63" s="11"/>
      <c r="D63" s="19"/>
      <c r="E63" s="14" t="s">
        <v>30</v>
      </c>
      <c r="F63" s="11">
        <v>1</v>
      </c>
      <c r="G63" s="16">
        <v>0</v>
      </c>
      <c r="H63" s="16">
        <v>0</v>
      </c>
      <c r="I63" s="16">
        <v>0</v>
      </c>
      <c r="J63" s="15">
        <f>F63*(G63+ (G63= 0))*(H63+ (H63= 0))*(I63+ (I63= 0))</f>
        <v>1</v>
      </c>
      <c r="K63" s="11"/>
      <c r="L63" s="11"/>
      <c r="M63" s="11"/>
    </row>
    <row r="64" spans="1:13" x14ac:dyDescent="0.25">
      <c r="A64" s="11"/>
      <c r="B64" s="11"/>
      <c r="C64" s="11"/>
      <c r="D64" s="19"/>
      <c r="E64" s="14" t="s">
        <v>31</v>
      </c>
      <c r="F64" s="11">
        <v>1</v>
      </c>
      <c r="G64" s="16">
        <v>0</v>
      </c>
      <c r="H64" s="16">
        <v>0</v>
      </c>
      <c r="I64" s="16">
        <v>0</v>
      </c>
      <c r="J64" s="15">
        <f>F64*(G64+ (G64= 0))*(H64+ (H64= 0))*(I64+ (I64= 0))</f>
        <v>1</v>
      </c>
      <c r="K64" s="11"/>
      <c r="L64" s="11"/>
      <c r="M64" s="11"/>
    </row>
    <row r="65" spans="1:13" x14ac:dyDescent="0.25">
      <c r="A65" s="11"/>
      <c r="B65" s="11"/>
      <c r="C65" s="11"/>
      <c r="D65" s="19"/>
      <c r="E65" s="14" t="s">
        <v>32</v>
      </c>
      <c r="F65" s="11">
        <v>0</v>
      </c>
      <c r="G65" s="16">
        <v>0</v>
      </c>
      <c r="H65" s="16">
        <v>0</v>
      </c>
      <c r="I65" s="16">
        <v>0</v>
      </c>
      <c r="J65" s="15">
        <f>F65*(G65+ (G65= 0))*(H65+ (H65= 0))*(I65+ (I65= 0))</f>
        <v>0</v>
      </c>
      <c r="K65" s="11"/>
      <c r="L65" s="11"/>
      <c r="M65" s="11"/>
    </row>
    <row r="66" spans="1:13" x14ac:dyDescent="0.25">
      <c r="A66" s="11"/>
      <c r="B66" s="11"/>
      <c r="C66" s="11"/>
      <c r="D66" s="19"/>
      <c r="E66" s="14" t="s">
        <v>33</v>
      </c>
      <c r="F66" s="11">
        <v>0</v>
      </c>
      <c r="G66" s="16">
        <v>0</v>
      </c>
      <c r="H66" s="16">
        <v>0</v>
      </c>
      <c r="I66" s="16">
        <v>0</v>
      </c>
      <c r="J66" s="15">
        <f>F66*(G66+ (G66= 0))*(H66+ (H66= 0))*(I66+ (I66= 0))</f>
        <v>0</v>
      </c>
      <c r="K66" s="11"/>
      <c r="L66" s="11"/>
      <c r="M66" s="11"/>
    </row>
    <row r="67" spans="1:13" x14ac:dyDescent="0.25">
      <c r="A67" s="11"/>
      <c r="B67" s="11"/>
      <c r="C67" s="11"/>
      <c r="D67" s="19"/>
      <c r="E67" s="14" t="s">
        <v>34</v>
      </c>
      <c r="F67" s="11">
        <v>0</v>
      </c>
      <c r="G67" s="16">
        <v>0</v>
      </c>
      <c r="H67" s="16">
        <v>0</v>
      </c>
      <c r="I67" s="16">
        <v>0</v>
      </c>
      <c r="J67" s="15">
        <f>F67*(G67+ (G67= 0))*(H67+ (H67= 0))*(I67+ (I67= 0))</f>
        <v>0</v>
      </c>
      <c r="K67" s="11"/>
      <c r="L67" s="11"/>
      <c r="M67" s="11"/>
    </row>
    <row r="68" spans="1:13" x14ac:dyDescent="0.25">
      <c r="A68" s="11"/>
      <c r="B68" s="11"/>
      <c r="C68" s="11"/>
      <c r="D68" s="19"/>
      <c r="E68" s="14" t="s">
        <v>35</v>
      </c>
      <c r="F68" s="11">
        <v>1</v>
      </c>
      <c r="G68" s="16">
        <v>0</v>
      </c>
      <c r="H68" s="16">
        <v>0</v>
      </c>
      <c r="I68" s="16">
        <v>0</v>
      </c>
      <c r="J68" s="15">
        <f>F68*(G68+ (G68= 0))*(H68+ (H68= 0))*(I68+ (I68= 0))</f>
        <v>1</v>
      </c>
      <c r="K68" s="11"/>
      <c r="L68" s="11"/>
      <c r="M68" s="11"/>
    </row>
    <row r="69" spans="1:13" x14ac:dyDescent="0.25">
      <c r="A69" s="11"/>
      <c r="B69" s="11"/>
      <c r="C69" s="11"/>
      <c r="D69" s="19"/>
      <c r="E69" s="14" t="s">
        <v>36</v>
      </c>
      <c r="F69" s="11">
        <v>1</v>
      </c>
      <c r="G69" s="16">
        <v>0</v>
      </c>
      <c r="H69" s="16">
        <v>0</v>
      </c>
      <c r="I69" s="16">
        <v>0</v>
      </c>
      <c r="J69" s="15">
        <f>F69*(G69+ (G69= 0))*(H69+ (H69= 0))*(I69+ (I69= 0))</f>
        <v>1</v>
      </c>
      <c r="K69" s="11"/>
      <c r="L69" s="11"/>
      <c r="M69" s="11"/>
    </row>
    <row r="70" spans="1:13" x14ac:dyDescent="0.25">
      <c r="A70" s="11"/>
      <c r="B70" s="11"/>
      <c r="C70" s="11"/>
      <c r="D70" s="19"/>
      <c r="E70" s="14" t="s">
        <v>37</v>
      </c>
      <c r="F70" s="11">
        <v>0</v>
      </c>
      <c r="G70" s="16">
        <v>0</v>
      </c>
      <c r="H70" s="16">
        <v>0</v>
      </c>
      <c r="I70" s="16">
        <v>0</v>
      </c>
      <c r="J70" s="15">
        <f>F70*(G70+ (G70= 0))*(H70+ (H70= 0))*(I70+ (I70= 0))</f>
        <v>0</v>
      </c>
      <c r="K70" s="11"/>
      <c r="L70" s="11"/>
      <c r="M70" s="11"/>
    </row>
    <row r="71" spans="1:13" x14ac:dyDescent="0.25">
      <c r="A71" s="11"/>
      <c r="B71" s="11"/>
      <c r="C71" s="11"/>
      <c r="D71" s="19"/>
      <c r="E71" s="14" t="s">
        <v>38</v>
      </c>
      <c r="F71" s="11">
        <v>1</v>
      </c>
      <c r="G71" s="16">
        <v>0</v>
      </c>
      <c r="H71" s="16">
        <v>0</v>
      </c>
      <c r="I71" s="16">
        <v>0</v>
      </c>
      <c r="J71" s="15">
        <f>F71*(G71+ (G71= 0))*(H71+ (H71= 0))*(I71+ (I71= 0))</f>
        <v>1</v>
      </c>
      <c r="K71" s="11"/>
      <c r="L71" s="11"/>
      <c r="M71" s="11"/>
    </row>
    <row r="72" spans="1:13" x14ac:dyDescent="0.25">
      <c r="A72" s="11"/>
      <c r="B72" s="11"/>
      <c r="C72" s="11"/>
      <c r="D72" s="19"/>
      <c r="E72" s="14" t="s">
        <v>39</v>
      </c>
      <c r="F72" s="11">
        <v>1</v>
      </c>
      <c r="G72" s="16">
        <v>0</v>
      </c>
      <c r="H72" s="16">
        <v>0</v>
      </c>
      <c r="I72" s="16">
        <v>0</v>
      </c>
      <c r="J72" s="15">
        <f>F72*(G72+ (G72= 0))*(H72+ (H72= 0))*(I72+ (I72= 0))</f>
        <v>1</v>
      </c>
      <c r="K72" s="11"/>
      <c r="L72" s="11"/>
      <c r="M72" s="11"/>
    </row>
    <row r="73" spans="1:13" x14ac:dyDescent="0.25">
      <c r="A73" s="11"/>
      <c r="B73" s="11"/>
      <c r="C73" s="11"/>
      <c r="D73" s="19"/>
      <c r="E73" s="14" t="s">
        <v>40</v>
      </c>
      <c r="F73" s="11">
        <v>1</v>
      </c>
      <c r="G73" s="16">
        <v>0</v>
      </c>
      <c r="H73" s="16">
        <v>0</v>
      </c>
      <c r="I73" s="16">
        <v>0</v>
      </c>
      <c r="J73" s="15">
        <f>F73*(G73+ (G73= 0))*(H73+ (H73= 0))*(I73+ (I73= 0))</f>
        <v>1</v>
      </c>
      <c r="K73" s="11"/>
      <c r="L73" s="11"/>
      <c r="M73" s="11"/>
    </row>
    <row r="74" spans="1:13" x14ac:dyDescent="0.25">
      <c r="A74" s="11"/>
      <c r="B74" s="11"/>
      <c r="C74" s="11"/>
      <c r="D74" s="19"/>
      <c r="E74" s="14" t="s">
        <v>41</v>
      </c>
      <c r="F74" s="11">
        <v>1</v>
      </c>
      <c r="G74" s="16">
        <v>0</v>
      </c>
      <c r="H74" s="16">
        <v>0</v>
      </c>
      <c r="I74" s="16">
        <v>0</v>
      </c>
      <c r="J74" s="15">
        <f>F74*(G74+ (G74= 0))*(H74+ (H74= 0))*(I74+ (I74= 0))</f>
        <v>1</v>
      </c>
      <c r="K74" s="11"/>
      <c r="L74" s="11"/>
      <c r="M74" s="11"/>
    </row>
    <row r="75" spans="1:13" x14ac:dyDescent="0.25">
      <c r="A75" s="11"/>
      <c r="B75" s="11"/>
      <c r="C75" s="11"/>
      <c r="D75" s="19"/>
      <c r="E75" s="11"/>
      <c r="F75" s="11"/>
      <c r="G75" s="11"/>
      <c r="H75" s="11"/>
      <c r="I75" s="11"/>
      <c r="J75" s="17" t="s">
        <v>54</v>
      </c>
      <c r="K75" s="10">
        <f>SUM(J63:J74)</f>
        <v>8</v>
      </c>
      <c r="L75" s="16">
        <v>0</v>
      </c>
      <c r="M75" s="10">
        <f>ROUND(L75*K75,2)</f>
        <v>0</v>
      </c>
    </row>
    <row r="76" spans="1:13" ht="0.95" customHeight="1" x14ac:dyDescent="0.25">
      <c r="A76" s="18"/>
      <c r="B76" s="18"/>
      <c r="C76" s="18"/>
      <c r="D76" s="25"/>
      <c r="E76" s="18"/>
      <c r="F76" s="18"/>
      <c r="G76" s="18"/>
      <c r="H76" s="18"/>
      <c r="I76" s="18"/>
      <c r="J76" s="18"/>
      <c r="K76" s="18"/>
      <c r="L76" s="18"/>
      <c r="M76" s="18"/>
    </row>
    <row r="77" spans="1:13" x14ac:dyDescent="0.25">
      <c r="A77" s="14" t="s">
        <v>55</v>
      </c>
      <c r="B77" s="14" t="s">
        <v>24</v>
      </c>
      <c r="C77" s="14" t="s">
        <v>48</v>
      </c>
      <c r="D77" s="24" t="s">
        <v>56</v>
      </c>
      <c r="E77" s="11"/>
      <c r="F77" s="11"/>
      <c r="G77" s="11"/>
      <c r="H77" s="11"/>
      <c r="I77" s="11"/>
      <c r="J77" s="11"/>
      <c r="K77" s="15">
        <f>K91</f>
        <v>12</v>
      </c>
      <c r="L77" s="15">
        <f>L91</f>
        <v>0</v>
      </c>
      <c r="M77" s="15">
        <f>M91</f>
        <v>0</v>
      </c>
    </row>
    <row r="78" spans="1:13" ht="101.25" x14ac:dyDescent="0.25">
      <c r="A78" s="11"/>
      <c r="B78" s="11"/>
      <c r="C78" s="11"/>
      <c r="D78" s="19" t="s">
        <v>57</v>
      </c>
      <c r="E78" s="11"/>
      <c r="F78" s="11"/>
      <c r="G78" s="11"/>
      <c r="H78" s="11"/>
      <c r="I78" s="11"/>
      <c r="J78" s="11"/>
      <c r="K78" s="11"/>
      <c r="L78" s="11"/>
      <c r="M78" s="11"/>
    </row>
    <row r="79" spans="1:13" x14ac:dyDescent="0.25">
      <c r="A79" s="11"/>
      <c r="B79" s="11"/>
      <c r="C79" s="11"/>
      <c r="D79" s="19"/>
      <c r="E79" s="14" t="s">
        <v>30</v>
      </c>
      <c r="F79" s="11">
        <v>1</v>
      </c>
      <c r="G79" s="16">
        <v>0</v>
      </c>
      <c r="H79" s="16">
        <v>0</v>
      </c>
      <c r="I79" s="16">
        <v>0</v>
      </c>
      <c r="J79" s="15">
        <f>F79*(G79+ (G79= 0))*(H79+ (H79= 0))*(I79+ (I79= 0))</f>
        <v>1</v>
      </c>
      <c r="K79" s="11"/>
      <c r="L79" s="11"/>
      <c r="M79" s="11"/>
    </row>
    <row r="80" spans="1:13" x14ac:dyDescent="0.25">
      <c r="A80" s="11"/>
      <c r="B80" s="11"/>
      <c r="C80" s="11"/>
      <c r="D80" s="19"/>
      <c r="E80" s="14" t="s">
        <v>31</v>
      </c>
      <c r="F80" s="11">
        <v>1</v>
      </c>
      <c r="G80" s="16">
        <v>0</v>
      </c>
      <c r="H80" s="16">
        <v>0</v>
      </c>
      <c r="I80" s="16">
        <v>0</v>
      </c>
      <c r="J80" s="15">
        <f>F80*(G80+ (G80= 0))*(H80+ (H80= 0))*(I80+ (I80= 0))</f>
        <v>1</v>
      </c>
      <c r="K80" s="11"/>
      <c r="L80" s="11"/>
      <c r="M80" s="11"/>
    </row>
    <row r="81" spans="1:13" x14ac:dyDescent="0.25">
      <c r="A81" s="11"/>
      <c r="B81" s="11"/>
      <c r="C81" s="11"/>
      <c r="D81" s="19"/>
      <c r="E81" s="14" t="s">
        <v>32</v>
      </c>
      <c r="F81" s="11">
        <v>1</v>
      </c>
      <c r="G81" s="16">
        <v>0</v>
      </c>
      <c r="H81" s="16">
        <v>0</v>
      </c>
      <c r="I81" s="16">
        <v>0</v>
      </c>
      <c r="J81" s="15">
        <f>F81*(G81+ (G81= 0))*(H81+ (H81= 0))*(I81+ (I81= 0))</f>
        <v>1</v>
      </c>
      <c r="K81" s="11"/>
      <c r="L81" s="11"/>
      <c r="M81" s="11"/>
    </row>
    <row r="82" spans="1:13" x14ac:dyDescent="0.25">
      <c r="A82" s="11"/>
      <c r="B82" s="11"/>
      <c r="C82" s="11"/>
      <c r="D82" s="19"/>
      <c r="E82" s="14" t="s">
        <v>33</v>
      </c>
      <c r="F82" s="11">
        <v>1</v>
      </c>
      <c r="G82" s="16">
        <v>0</v>
      </c>
      <c r="H82" s="16">
        <v>0</v>
      </c>
      <c r="I82" s="16">
        <v>0</v>
      </c>
      <c r="J82" s="15">
        <f>F82*(G82+ (G82= 0))*(H82+ (H82= 0))*(I82+ (I82= 0))</f>
        <v>1</v>
      </c>
      <c r="K82" s="11"/>
      <c r="L82" s="11"/>
      <c r="M82" s="11"/>
    </row>
    <row r="83" spans="1:13" x14ac:dyDescent="0.25">
      <c r="A83" s="11"/>
      <c r="B83" s="11"/>
      <c r="C83" s="11"/>
      <c r="D83" s="19"/>
      <c r="E83" s="14" t="s">
        <v>34</v>
      </c>
      <c r="F83" s="11">
        <v>1</v>
      </c>
      <c r="G83" s="16">
        <v>0</v>
      </c>
      <c r="H83" s="16">
        <v>0</v>
      </c>
      <c r="I83" s="16">
        <v>0</v>
      </c>
      <c r="J83" s="15">
        <f>F83*(G83+ (G83= 0))*(H83+ (H83= 0))*(I83+ (I83= 0))</f>
        <v>1</v>
      </c>
      <c r="K83" s="11"/>
      <c r="L83" s="11"/>
      <c r="M83" s="11"/>
    </row>
    <row r="84" spans="1:13" x14ac:dyDescent="0.25">
      <c r="A84" s="11"/>
      <c r="B84" s="11"/>
      <c r="C84" s="11"/>
      <c r="D84" s="19"/>
      <c r="E84" s="14" t="s">
        <v>35</v>
      </c>
      <c r="F84" s="11">
        <v>1</v>
      </c>
      <c r="G84" s="16">
        <v>0</v>
      </c>
      <c r="H84" s="16">
        <v>0</v>
      </c>
      <c r="I84" s="16">
        <v>0</v>
      </c>
      <c r="J84" s="15">
        <f>F84*(G84+ (G84= 0))*(H84+ (H84= 0))*(I84+ (I84= 0))</f>
        <v>1</v>
      </c>
      <c r="K84" s="11"/>
      <c r="L84" s="11"/>
      <c r="M84" s="11"/>
    </row>
    <row r="85" spans="1:13" x14ac:dyDescent="0.25">
      <c r="A85" s="11"/>
      <c r="B85" s="11"/>
      <c r="C85" s="11"/>
      <c r="D85" s="19"/>
      <c r="E85" s="14" t="s">
        <v>36</v>
      </c>
      <c r="F85" s="11">
        <v>1</v>
      </c>
      <c r="G85" s="16">
        <v>0</v>
      </c>
      <c r="H85" s="16">
        <v>0</v>
      </c>
      <c r="I85" s="16">
        <v>0</v>
      </c>
      <c r="J85" s="15">
        <f>F85*(G85+ (G85= 0))*(H85+ (H85= 0))*(I85+ (I85= 0))</f>
        <v>1</v>
      </c>
      <c r="K85" s="11"/>
      <c r="L85" s="11"/>
      <c r="M85" s="11"/>
    </row>
    <row r="86" spans="1:13" x14ac:dyDescent="0.25">
      <c r="A86" s="11"/>
      <c r="B86" s="11"/>
      <c r="C86" s="11"/>
      <c r="D86" s="19"/>
      <c r="E86" s="14" t="s">
        <v>37</v>
      </c>
      <c r="F86" s="11">
        <v>1</v>
      </c>
      <c r="G86" s="16">
        <v>0</v>
      </c>
      <c r="H86" s="16">
        <v>0</v>
      </c>
      <c r="I86" s="16">
        <v>0</v>
      </c>
      <c r="J86" s="15">
        <f>F86*(G86+ (G86= 0))*(H86+ (H86= 0))*(I86+ (I86= 0))</f>
        <v>1</v>
      </c>
      <c r="K86" s="11"/>
      <c r="L86" s="11"/>
      <c r="M86" s="11"/>
    </row>
    <row r="87" spans="1:13" x14ac:dyDescent="0.25">
      <c r="A87" s="11"/>
      <c r="B87" s="11"/>
      <c r="C87" s="11"/>
      <c r="D87" s="19"/>
      <c r="E87" s="14" t="s">
        <v>38</v>
      </c>
      <c r="F87" s="11">
        <v>1</v>
      </c>
      <c r="G87" s="16">
        <v>0</v>
      </c>
      <c r="H87" s="16">
        <v>0</v>
      </c>
      <c r="I87" s="16">
        <v>0</v>
      </c>
      <c r="J87" s="15">
        <f>F87*(G87+ (G87= 0))*(H87+ (H87= 0))*(I87+ (I87= 0))</f>
        <v>1</v>
      </c>
      <c r="K87" s="11"/>
      <c r="L87" s="11"/>
      <c r="M87" s="11"/>
    </row>
    <row r="88" spans="1:13" x14ac:dyDescent="0.25">
      <c r="A88" s="11"/>
      <c r="B88" s="11"/>
      <c r="C88" s="11"/>
      <c r="D88" s="19"/>
      <c r="E88" s="14" t="s">
        <v>39</v>
      </c>
      <c r="F88" s="11">
        <v>1</v>
      </c>
      <c r="G88" s="16">
        <v>0</v>
      </c>
      <c r="H88" s="16">
        <v>0</v>
      </c>
      <c r="I88" s="16">
        <v>0</v>
      </c>
      <c r="J88" s="15">
        <f>F88*(G88+ (G88= 0))*(H88+ (H88= 0))*(I88+ (I88= 0))</f>
        <v>1</v>
      </c>
      <c r="K88" s="11"/>
      <c r="L88" s="11"/>
      <c r="M88" s="11"/>
    </row>
    <row r="89" spans="1:13" x14ac:dyDescent="0.25">
      <c r="A89" s="11"/>
      <c r="B89" s="11"/>
      <c r="C89" s="11"/>
      <c r="D89" s="19"/>
      <c r="E89" s="14" t="s">
        <v>40</v>
      </c>
      <c r="F89" s="11">
        <v>1</v>
      </c>
      <c r="G89" s="16">
        <v>0</v>
      </c>
      <c r="H89" s="16">
        <v>0</v>
      </c>
      <c r="I89" s="16">
        <v>0</v>
      </c>
      <c r="J89" s="15">
        <f>F89*(G89+ (G89= 0))*(H89+ (H89= 0))*(I89+ (I89= 0))</f>
        <v>1</v>
      </c>
      <c r="K89" s="11"/>
      <c r="L89" s="11"/>
      <c r="M89" s="11"/>
    </row>
    <row r="90" spans="1:13" x14ac:dyDescent="0.25">
      <c r="A90" s="11"/>
      <c r="B90" s="11"/>
      <c r="C90" s="11"/>
      <c r="D90" s="19"/>
      <c r="E90" s="14" t="s">
        <v>41</v>
      </c>
      <c r="F90" s="11">
        <v>1</v>
      </c>
      <c r="G90" s="16">
        <v>0</v>
      </c>
      <c r="H90" s="16">
        <v>0</v>
      </c>
      <c r="I90" s="16">
        <v>0</v>
      </c>
      <c r="J90" s="15">
        <f>F90*(G90+ (G90= 0))*(H90+ (H90= 0))*(I90+ (I90= 0))</f>
        <v>1</v>
      </c>
      <c r="K90" s="11"/>
      <c r="L90" s="11"/>
      <c r="M90" s="11"/>
    </row>
    <row r="91" spans="1:13" x14ac:dyDescent="0.25">
      <c r="A91" s="11"/>
      <c r="B91" s="11"/>
      <c r="C91" s="11"/>
      <c r="D91" s="19"/>
      <c r="E91" s="11"/>
      <c r="F91" s="11"/>
      <c r="G91" s="11"/>
      <c r="H91" s="11"/>
      <c r="I91" s="11"/>
      <c r="J91" s="17" t="s">
        <v>58</v>
      </c>
      <c r="K91" s="10">
        <f>SUM(J79:J90)</f>
        <v>12</v>
      </c>
      <c r="L91" s="16">
        <v>0</v>
      </c>
      <c r="M91" s="10">
        <f>ROUND(L91*K91,2)</f>
        <v>0</v>
      </c>
    </row>
    <row r="92" spans="1:13" ht="0.95" customHeight="1" x14ac:dyDescent="0.25">
      <c r="A92" s="18"/>
      <c r="B92" s="18"/>
      <c r="C92" s="18"/>
      <c r="D92" s="25"/>
      <c r="E92" s="18"/>
      <c r="F92" s="18"/>
      <c r="G92" s="18"/>
      <c r="H92" s="18"/>
      <c r="I92" s="18"/>
      <c r="J92" s="18"/>
      <c r="K92" s="18"/>
      <c r="L92" s="18"/>
      <c r="M92" s="18"/>
    </row>
    <row r="93" spans="1:13" ht="22.5" x14ac:dyDescent="0.25">
      <c r="A93" s="14" t="s">
        <v>59</v>
      </c>
      <c r="B93" s="14" t="s">
        <v>24</v>
      </c>
      <c r="C93" s="14" t="s">
        <v>48</v>
      </c>
      <c r="D93" s="24" t="s">
        <v>60</v>
      </c>
      <c r="E93" s="11"/>
      <c r="F93" s="11"/>
      <c r="G93" s="11"/>
      <c r="H93" s="11"/>
      <c r="I93" s="11"/>
      <c r="J93" s="11"/>
      <c r="K93" s="15">
        <f>K108</f>
        <v>12</v>
      </c>
      <c r="L93" s="15">
        <f>L108</f>
        <v>0</v>
      </c>
      <c r="M93" s="15">
        <f>M108</f>
        <v>0</v>
      </c>
    </row>
    <row r="94" spans="1:13" ht="146.25" x14ac:dyDescent="0.25">
      <c r="A94" s="11"/>
      <c r="B94" s="11"/>
      <c r="C94" s="11"/>
      <c r="D94" s="19" t="s">
        <v>61</v>
      </c>
      <c r="E94" s="11"/>
      <c r="F94" s="11"/>
      <c r="G94" s="11"/>
      <c r="H94" s="11"/>
      <c r="I94" s="11"/>
      <c r="J94" s="11"/>
      <c r="K94" s="11"/>
      <c r="L94" s="11"/>
      <c r="M94" s="11"/>
    </row>
    <row r="95" spans="1:13" x14ac:dyDescent="0.25">
      <c r="A95" s="11"/>
      <c r="B95" s="11"/>
      <c r="C95" s="11"/>
      <c r="D95" s="19"/>
      <c r="E95" s="14" t="s">
        <v>30</v>
      </c>
      <c r="F95" s="11">
        <v>1</v>
      </c>
      <c r="G95" s="16">
        <v>0</v>
      </c>
      <c r="H95" s="16">
        <v>0</v>
      </c>
      <c r="I95" s="16">
        <v>0</v>
      </c>
      <c r="J95" s="15">
        <f>F95*(G95+ (G95= 0))*(H95+ (H95= 0))*(I95+ (I95= 0))</f>
        <v>1</v>
      </c>
      <c r="K95" s="11"/>
      <c r="L95" s="11"/>
      <c r="M95" s="11"/>
    </row>
    <row r="96" spans="1:13" x14ac:dyDescent="0.25">
      <c r="A96" s="11"/>
      <c r="B96" s="11"/>
      <c r="C96" s="11"/>
      <c r="D96" s="19"/>
      <c r="E96" s="14" t="s">
        <v>31</v>
      </c>
      <c r="F96" s="11">
        <v>1</v>
      </c>
      <c r="G96" s="16">
        <v>0</v>
      </c>
      <c r="H96" s="16">
        <v>0</v>
      </c>
      <c r="I96" s="16">
        <v>0</v>
      </c>
      <c r="J96" s="15">
        <f>F96*(G96+ (G96= 0))*(H96+ (H96= 0))*(I96+ (I96= 0))</f>
        <v>1</v>
      </c>
      <c r="K96" s="11"/>
      <c r="L96" s="11"/>
      <c r="M96" s="11"/>
    </row>
    <row r="97" spans="1:13" x14ac:dyDescent="0.25">
      <c r="A97" s="11"/>
      <c r="B97" s="11"/>
      <c r="C97" s="11"/>
      <c r="D97" s="19"/>
      <c r="E97" s="14" t="s">
        <v>32</v>
      </c>
      <c r="F97" s="11">
        <v>1</v>
      </c>
      <c r="G97" s="16">
        <v>0</v>
      </c>
      <c r="H97" s="16">
        <v>0</v>
      </c>
      <c r="I97" s="16">
        <v>0</v>
      </c>
      <c r="J97" s="15">
        <f>F97*(G97+ (G97= 0))*(H97+ (H97= 0))*(I97+ (I97= 0))</f>
        <v>1</v>
      </c>
      <c r="K97" s="11"/>
      <c r="L97" s="11"/>
      <c r="M97" s="11"/>
    </row>
    <row r="98" spans="1:13" x14ac:dyDescent="0.25">
      <c r="A98" s="11"/>
      <c r="B98" s="11"/>
      <c r="C98" s="11"/>
      <c r="D98" s="19"/>
      <c r="E98" s="14" t="s">
        <v>33</v>
      </c>
      <c r="F98" s="11">
        <v>1</v>
      </c>
      <c r="G98" s="16">
        <v>0</v>
      </c>
      <c r="H98" s="16">
        <v>0</v>
      </c>
      <c r="I98" s="16">
        <v>0</v>
      </c>
      <c r="J98" s="15">
        <f>F98*(G98+ (G98= 0))*(H98+ (H98= 0))*(I98+ (I98= 0))</f>
        <v>1</v>
      </c>
      <c r="K98" s="11"/>
      <c r="L98" s="11"/>
      <c r="M98" s="11"/>
    </row>
    <row r="99" spans="1:13" x14ac:dyDescent="0.25">
      <c r="A99" s="11"/>
      <c r="B99" s="11"/>
      <c r="C99" s="11"/>
      <c r="D99" s="19"/>
      <c r="E99" s="14" t="s">
        <v>34</v>
      </c>
      <c r="F99" s="11">
        <v>1</v>
      </c>
      <c r="G99" s="16">
        <v>0</v>
      </c>
      <c r="H99" s="16">
        <v>0</v>
      </c>
      <c r="I99" s="16">
        <v>0</v>
      </c>
      <c r="J99" s="15">
        <f>F99*(G99+ (G99= 0))*(H99+ (H99= 0))*(I99+ (I99= 0))</f>
        <v>1</v>
      </c>
      <c r="K99" s="11"/>
      <c r="L99" s="11"/>
      <c r="M99" s="11"/>
    </row>
    <row r="100" spans="1:13" x14ac:dyDescent="0.25">
      <c r="A100" s="11"/>
      <c r="B100" s="11"/>
      <c r="C100" s="11"/>
      <c r="D100" s="19"/>
      <c r="E100" s="14" t="s">
        <v>35</v>
      </c>
      <c r="F100" s="11">
        <v>1</v>
      </c>
      <c r="G100" s="16">
        <v>0</v>
      </c>
      <c r="H100" s="16">
        <v>0</v>
      </c>
      <c r="I100" s="16">
        <v>0</v>
      </c>
      <c r="J100" s="15">
        <f>F100*(G100+ (G100= 0))*(H100+ (H100= 0))*(I100+ (I100= 0))</f>
        <v>1</v>
      </c>
      <c r="K100" s="11"/>
      <c r="L100" s="11"/>
      <c r="M100" s="11"/>
    </row>
    <row r="101" spans="1:13" x14ac:dyDescent="0.25">
      <c r="A101" s="11"/>
      <c r="B101" s="11"/>
      <c r="C101" s="11"/>
      <c r="D101" s="19"/>
      <c r="E101" s="14" t="s">
        <v>36</v>
      </c>
      <c r="F101" s="11">
        <v>1</v>
      </c>
      <c r="G101" s="16">
        <v>0</v>
      </c>
      <c r="H101" s="16">
        <v>0</v>
      </c>
      <c r="I101" s="16">
        <v>0</v>
      </c>
      <c r="J101" s="15">
        <f>F101*(G101+ (G101= 0))*(H101+ (H101= 0))*(I101+ (I101= 0))</f>
        <v>1</v>
      </c>
      <c r="K101" s="11"/>
      <c r="L101" s="11"/>
      <c r="M101" s="11"/>
    </row>
    <row r="102" spans="1:13" x14ac:dyDescent="0.25">
      <c r="A102" s="11"/>
      <c r="B102" s="11"/>
      <c r="C102" s="11"/>
      <c r="D102" s="19"/>
      <c r="E102" s="14" t="s">
        <v>37</v>
      </c>
      <c r="F102" s="11">
        <v>1</v>
      </c>
      <c r="G102" s="16">
        <v>0</v>
      </c>
      <c r="H102" s="16">
        <v>0</v>
      </c>
      <c r="I102" s="16">
        <v>0</v>
      </c>
      <c r="J102" s="15">
        <f>F102*(G102+ (G102= 0))*(H102+ (H102= 0))*(I102+ (I102= 0))</f>
        <v>1</v>
      </c>
      <c r="K102" s="11"/>
      <c r="L102" s="11"/>
      <c r="M102" s="11"/>
    </row>
    <row r="103" spans="1:13" x14ac:dyDescent="0.25">
      <c r="A103" s="11"/>
      <c r="B103" s="11"/>
      <c r="C103" s="11"/>
      <c r="D103" s="19"/>
      <c r="E103" s="14" t="s">
        <v>38</v>
      </c>
      <c r="F103" s="11">
        <v>1</v>
      </c>
      <c r="G103" s="16">
        <v>0</v>
      </c>
      <c r="H103" s="16">
        <v>0</v>
      </c>
      <c r="I103" s="16">
        <v>0</v>
      </c>
      <c r="J103" s="15">
        <f>F103*(G103+ (G103= 0))*(H103+ (H103= 0))*(I103+ (I103= 0))</f>
        <v>1</v>
      </c>
      <c r="K103" s="11"/>
      <c r="L103" s="11"/>
      <c r="M103" s="11"/>
    </row>
    <row r="104" spans="1:13" x14ac:dyDescent="0.25">
      <c r="A104" s="11"/>
      <c r="B104" s="11"/>
      <c r="C104" s="11"/>
      <c r="D104" s="19"/>
      <c r="E104" s="14" t="s">
        <v>39</v>
      </c>
      <c r="F104" s="11">
        <v>1</v>
      </c>
      <c r="G104" s="16">
        <v>0</v>
      </c>
      <c r="H104" s="16">
        <v>0</v>
      </c>
      <c r="I104" s="16">
        <v>0</v>
      </c>
      <c r="J104" s="15">
        <f>F104*(G104+ (G104= 0))*(H104+ (H104= 0))*(I104+ (I104= 0))</f>
        <v>1</v>
      </c>
      <c r="K104" s="11"/>
      <c r="L104" s="11"/>
      <c r="M104" s="11"/>
    </row>
    <row r="105" spans="1:13" x14ac:dyDescent="0.25">
      <c r="A105" s="11"/>
      <c r="B105" s="11"/>
      <c r="C105" s="11"/>
      <c r="D105" s="19"/>
      <c r="E105" s="14" t="s">
        <v>40</v>
      </c>
      <c r="F105" s="11">
        <v>1</v>
      </c>
      <c r="G105" s="16">
        <v>0</v>
      </c>
      <c r="H105" s="16">
        <v>0</v>
      </c>
      <c r="I105" s="16">
        <v>0</v>
      </c>
      <c r="J105" s="15">
        <f>F105*(G105+ (G105= 0))*(H105+ (H105= 0))*(I105+ (I105= 0))</f>
        <v>1</v>
      </c>
      <c r="K105" s="11"/>
      <c r="L105" s="11"/>
      <c r="M105" s="11"/>
    </row>
    <row r="106" spans="1:13" x14ac:dyDescent="0.25">
      <c r="A106" s="11"/>
      <c r="B106" s="11"/>
      <c r="C106" s="11"/>
      <c r="D106" s="19"/>
      <c r="E106" s="14" t="s">
        <v>41</v>
      </c>
      <c r="F106" s="11">
        <v>1</v>
      </c>
      <c r="G106" s="16">
        <v>0</v>
      </c>
      <c r="H106" s="16">
        <v>0</v>
      </c>
      <c r="I106" s="16">
        <v>0</v>
      </c>
      <c r="J106" s="15">
        <f>F106*(G106+ (G106= 0))*(H106+ (H106= 0))*(I106+ (I106= 0))</f>
        <v>1</v>
      </c>
      <c r="K106" s="11"/>
      <c r="L106" s="11"/>
      <c r="M106" s="11"/>
    </row>
    <row r="107" spans="1:13" x14ac:dyDescent="0.25">
      <c r="A107" s="11"/>
      <c r="B107" s="11"/>
      <c r="C107" s="11"/>
      <c r="D107" s="19"/>
      <c r="E107" s="14" t="s">
        <v>21</v>
      </c>
      <c r="F107" s="11">
        <v>0</v>
      </c>
      <c r="G107" s="16">
        <v>0</v>
      </c>
      <c r="H107" s="16">
        <v>0</v>
      </c>
      <c r="I107" s="16">
        <v>0</v>
      </c>
      <c r="J107" s="15">
        <f>F107*(G107+ (G107= 0))*(H107+ (H107= 0))*(I107+ (I107= 0))</f>
        <v>0</v>
      </c>
      <c r="K107" s="11"/>
      <c r="L107" s="11"/>
      <c r="M107" s="11"/>
    </row>
    <row r="108" spans="1:13" x14ac:dyDescent="0.25">
      <c r="A108" s="11"/>
      <c r="B108" s="11"/>
      <c r="C108" s="11"/>
      <c r="D108" s="19"/>
      <c r="E108" s="11"/>
      <c r="F108" s="11"/>
      <c r="G108" s="11"/>
      <c r="H108" s="11"/>
      <c r="I108" s="11"/>
      <c r="J108" s="17" t="s">
        <v>62</v>
      </c>
      <c r="K108" s="10">
        <f>SUM(J95:J107)</f>
        <v>12</v>
      </c>
      <c r="L108" s="16">
        <v>0</v>
      </c>
      <c r="M108" s="10">
        <f>ROUND(L108*K108,2)</f>
        <v>0</v>
      </c>
    </row>
    <row r="109" spans="1:13" ht="0.95" customHeight="1" x14ac:dyDescent="0.25">
      <c r="A109" s="18"/>
      <c r="B109" s="18"/>
      <c r="C109" s="18"/>
      <c r="D109" s="25"/>
      <c r="E109" s="18"/>
      <c r="F109" s="18"/>
      <c r="G109" s="18"/>
      <c r="H109" s="18"/>
      <c r="I109" s="18"/>
      <c r="J109" s="18"/>
      <c r="K109" s="18"/>
      <c r="L109" s="18"/>
      <c r="M109" s="18"/>
    </row>
    <row r="110" spans="1:13" x14ac:dyDescent="0.25">
      <c r="A110" s="14" t="s">
        <v>63</v>
      </c>
      <c r="B110" s="14" t="s">
        <v>24</v>
      </c>
      <c r="C110" s="14" t="s">
        <v>48</v>
      </c>
      <c r="D110" s="24" t="s">
        <v>64</v>
      </c>
      <c r="E110" s="11"/>
      <c r="F110" s="11"/>
      <c r="G110" s="11"/>
      <c r="H110" s="11"/>
      <c r="I110" s="11"/>
      <c r="J110" s="11"/>
      <c r="K110" s="15">
        <f>K124</f>
        <v>10</v>
      </c>
      <c r="L110" s="15">
        <f>L124</f>
        <v>0</v>
      </c>
      <c r="M110" s="15">
        <f>M124</f>
        <v>0</v>
      </c>
    </row>
    <row r="111" spans="1:13" ht="90" x14ac:dyDescent="0.25">
      <c r="A111" s="11"/>
      <c r="B111" s="11"/>
      <c r="C111" s="11"/>
      <c r="D111" s="19" t="s">
        <v>65</v>
      </c>
      <c r="E111" s="11"/>
      <c r="F111" s="11"/>
      <c r="G111" s="11"/>
      <c r="H111" s="11"/>
      <c r="I111" s="11"/>
      <c r="J111" s="11"/>
      <c r="K111" s="11"/>
      <c r="L111" s="11"/>
      <c r="M111" s="11"/>
    </row>
    <row r="112" spans="1:13" x14ac:dyDescent="0.25">
      <c r="A112" s="11"/>
      <c r="B112" s="11"/>
      <c r="C112" s="11"/>
      <c r="D112" s="19"/>
      <c r="E112" s="14" t="s">
        <v>30</v>
      </c>
      <c r="F112" s="11">
        <v>1</v>
      </c>
      <c r="G112" s="16">
        <v>0</v>
      </c>
      <c r="H112" s="16">
        <v>0</v>
      </c>
      <c r="I112" s="16">
        <v>0</v>
      </c>
      <c r="J112" s="15">
        <f>F112*(G112+ (G112= 0))*(H112+ (H112= 0))*(I112+ (I112= 0))</f>
        <v>1</v>
      </c>
      <c r="K112" s="11"/>
      <c r="L112" s="11"/>
      <c r="M112" s="11"/>
    </row>
    <row r="113" spans="1:13" x14ac:dyDescent="0.25">
      <c r="A113" s="11"/>
      <c r="B113" s="11"/>
      <c r="C113" s="11"/>
      <c r="D113" s="19"/>
      <c r="E113" s="14" t="s">
        <v>31</v>
      </c>
      <c r="F113" s="11">
        <v>1</v>
      </c>
      <c r="G113" s="16">
        <v>0</v>
      </c>
      <c r="H113" s="16">
        <v>0</v>
      </c>
      <c r="I113" s="16">
        <v>0</v>
      </c>
      <c r="J113" s="15">
        <f>F113*(G113+ (G113= 0))*(H113+ (H113= 0))*(I113+ (I113= 0))</f>
        <v>1</v>
      </c>
      <c r="K113" s="11"/>
      <c r="L113" s="11"/>
      <c r="M113" s="11"/>
    </row>
    <row r="114" spans="1:13" x14ac:dyDescent="0.25">
      <c r="A114" s="11"/>
      <c r="B114" s="11"/>
      <c r="C114" s="11"/>
      <c r="D114" s="19"/>
      <c r="E114" s="14" t="s">
        <v>32</v>
      </c>
      <c r="F114" s="11">
        <v>1</v>
      </c>
      <c r="G114" s="16">
        <v>0</v>
      </c>
      <c r="H114" s="16">
        <v>0</v>
      </c>
      <c r="I114" s="16">
        <v>0</v>
      </c>
      <c r="J114" s="15">
        <f>F114*(G114+ (G114= 0))*(H114+ (H114= 0))*(I114+ (I114= 0))</f>
        <v>1</v>
      </c>
      <c r="K114" s="11"/>
      <c r="L114" s="11"/>
      <c r="M114" s="11"/>
    </row>
    <row r="115" spans="1:13" x14ac:dyDescent="0.25">
      <c r="A115" s="11"/>
      <c r="B115" s="11"/>
      <c r="C115" s="11"/>
      <c r="D115" s="19"/>
      <c r="E115" s="14" t="s">
        <v>33</v>
      </c>
      <c r="F115" s="11">
        <v>0</v>
      </c>
      <c r="G115" s="16">
        <v>0</v>
      </c>
      <c r="H115" s="16">
        <v>0</v>
      </c>
      <c r="I115" s="16">
        <v>0</v>
      </c>
      <c r="J115" s="15">
        <f>F115*(G115+ (G115= 0))*(H115+ (H115= 0))*(I115+ (I115= 0))</f>
        <v>0</v>
      </c>
      <c r="K115" s="11"/>
      <c r="L115" s="11"/>
      <c r="M115" s="11"/>
    </row>
    <row r="116" spans="1:13" x14ac:dyDescent="0.25">
      <c r="A116" s="11"/>
      <c r="B116" s="11"/>
      <c r="C116" s="11"/>
      <c r="D116" s="19"/>
      <c r="E116" s="14" t="s">
        <v>34</v>
      </c>
      <c r="F116" s="11">
        <v>0</v>
      </c>
      <c r="G116" s="16">
        <v>0</v>
      </c>
      <c r="H116" s="16">
        <v>0</v>
      </c>
      <c r="I116" s="16">
        <v>0</v>
      </c>
      <c r="J116" s="15">
        <f>F116*(G116+ (G116= 0))*(H116+ (H116= 0))*(I116+ (I116= 0))</f>
        <v>0</v>
      </c>
      <c r="K116" s="11"/>
      <c r="L116" s="11"/>
      <c r="M116" s="11"/>
    </row>
    <row r="117" spans="1:13" x14ac:dyDescent="0.25">
      <c r="A117" s="11"/>
      <c r="B117" s="11"/>
      <c r="C117" s="11"/>
      <c r="D117" s="19"/>
      <c r="E117" s="14" t="s">
        <v>35</v>
      </c>
      <c r="F117" s="11">
        <v>1</v>
      </c>
      <c r="G117" s="16">
        <v>0</v>
      </c>
      <c r="H117" s="16">
        <v>0</v>
      </c>
      <c r="I117" s="16">
        <v>0</v>
      </c>
      <c r="J117" s="15">
        <f>F117*(G117+ (G117= 0))*(H117+ (H117= 0))*(I117+ (I117= 0))</f>
        <v>1</v>
      </c>
      <c r="K117" s="11"/>
      <c r="L117" s="11"/>
      <c r="M117" s="11"/>
    </row>
    <row r="118" spans="1:13" x14ac:dyDescent="0.25">
      <c r="A118" s="11"/>
      <c r="B118" s="11"/>
      <c r="C118" s="11"/>
      <c r="D118" s="19"/>
      <c r="E118" s="14" t="s">
        <v>36</v>
      </c>
      <c r="F118" s="11">
        <v>1</v>
      </c>
      <c r="G118" s="16">
        <v>0</v>
      </c>
      <c r="H118" s="16">
        <v>0</v>
      </c>
      <c r="I118" s="16">
        <v>0</v>
      </c>
      <c r="J118" s="15">
        <f>F118*(G118+ (G118= 0))*(H118+ (H118= 0))*(I118+ (I118= 0))</f>
        <v>1</v>
      </c>
      <c r="K118" s="11"/>
      <c r="L118" s="11"/>
      <c r="M118" s="11"/>
    </row>
    <row r="119" spans="1:13" x14ac:dyDescent="0.25">
      <c r="A119" s="11"/>
      <c r="B119" s="11"/>
      <c r="C119" s="11"/>
      <c r="D119" s="19"/>
      <c r="E119" s="14" t="s">
        <v>37</v>
      </c>
      <c r="F119" s="11">
        <v>1</v>
      </c>
      <c r="G119" s="16">
        <v>0</v>
      </c>
      <c r="H119" s="16">
        <v>0</v>
      </c>
      <c r="I119" s="16">
        <v>0</v>
      </c>
      <c r="J119" s="15">
        <f>F119*(G119+ (G119= 0))*(H119+ (H119= 0))*(I119+ (I119= 0))</f>
        <v>1</v>
      </c>
      <c r="K119" s="11"/>
      <c r="L119" s="11"/>
      <c r="M119" s="11"/>
    </row>
    <row r="120" spans="1:13" x14ac:dyDescent="0.25">
      <c r="A120" s="11"/>
      <c r="B120" s="11"/>
      <c r="C120" s="11"/>
      <c r="D120" s="19"/>
      <c r="E120" s="14" t="s">
        <v>38</v>
      </c>
      <c r="F120" s="11">
        <v>1</v>
      </c>
      <c r="G120" s="16">
        <v>0</v>
      </c>
      <c r="H120" s="16">
        <v>0</v>
      </c>
      <c r="I120" s="16">
        <v>0</v>
      </c>
      <c r="J120" s="15">
        <f>F120*(G120+ (G120= 0))*(H120+ (H120= 0))*(I120+ (I120= 0))</f>
        <v>1</v>
      </c>
      <c r="K120" s="11"/>
      <c r="L120" s="11"/>
      <c r="M120" s="11"/>
    </row>
    <row r="121" spans="1:13" x14ac:dyDescent="0.25">
      <c r="A121" s="11"/>
      <c r="B121" s="11"/>
      <c r="C121" s="11"/>
      <c r="D121" s="19"/>
      <c r="E121" s="14" t="s">
        <v>39</v>
      </c>
      <c r="F121" s="11">
        <v>1</v>
      </c>
      <c r="G121" s="16">
        <v>0</v>
      </c>
      <c r="H121" s="16">
        <v>0</v>
      </c>
      <c r="I121" s="16">
        <v>0</v>
      </c>
      <c r="J121" s="15">
        <f>F121*(G121+ (G121= 0))*(H121+ (H121= 0))*(I121+ (I121= 0))</f>
        <v>1</v>
      </c>
      <c r="K121" s="11"/>
      <c r="L121" s="11"/>
      <c r="M121" s="11"/>
    </row>
    <row r="122" spans="1:13" x14ac:dyDescent="0.25">
      <c r="A122" s="11"/>
      <c r="B122" s="11"/>
      <c r="C122" s="11"/>
      <c r="D122" s="19"/>
      <c r="E122" s="14" t="s">
        <v>40</v>
      </c>
      <c r="F122" s="11">
        <v>1</v>
      </c>
      <c r="G122" s="16">
        <v>0</v>
      </c>
      <c r="H122" s="16">
        <v>0</v>
      </c>
      <c r="I122" s="16">
        <v>0</v>
      </c>
      <c r="J122" s="15">
        <f>F122*(G122+ (G122= 0))*(H122+ (H122= 0))*(I122+ (I122= 0))</f>
        <v>1</v>
      </c>
      <c r="K122" s="11"/>
      <c r="L122" s="11"/>
      <c r="M122" s="11"/>
    </row>
    <row r="123" spans="1:13" x14ac:dyDescent="0.25">
      <c r="A123" s="11"/>
      <c r="B123" s="11"/>
      <c r="C123" s="11"/>
      <c r="D123" s="19"/>
      <c r="E123" s="14" t="s">
        <v>41</v>
      </c>
      <c r="F123" s="11">
        <v>1</v>
      </c>
      <c r="G123" s="16">
        <v>0</v>
      </c>
      <c r="H123" s="16">
        <v>0</v>
      </c>
      <c r="I123" s="16">
        <v>0</v>
      </c>
      <c r="J123" s="15">
        <f>F123*(G123+ (G123= 0))*(H123+ (H123= 0))*(I123+ (I123= 0))</f>
        <v>1</v>
      </c>
      <c r="K123" s="11"/>
      <c r="L123" s="11"/>
      <c r="M123" s="11"/>
    </row>
    <row r="124" spans="1:13" x14ac:dyDescent="0.25">
      <c r="A124" s="11"/>
      <c r="B124" s="11"/>
      <c r="C124" s="11"/>
      <c r="D124" s="19"/>
      <c r="E124" s="11"/>
      <c r="F124" s="11"/>
      <c r="G124" s="11"/>
      <c r="H124" s="11"/>
      <c r="I124" s="11"/>
      <c r="J124" s="17" t="s">
        <v>66</v>
      </c>
      <c r="K124" s="10">
        <f>SUM(J112:J123)</f>
        <v>10</v>
      </c>
      <c r="L124" s="16">
        <v>0</v>
      </c>
      <c r="M124" s="10">
        <f>ROUND(L124*K124,2)</f>
        <v>0</v>
      </c>
    </row>
    <row r="125" spans="1:13" ht="0.95" customHeight="1" x14ac:dyDescent="0.25">
      <c r="A125" s="18"/>
      <c r="B125" s="18"/>
      <c r="C125" s="18"/>
      <c r="D125" s="25"/>
      <c r="E125" s="18"/>
      <c r="F125" s="18"/>
      <c r="G125" s="18"/>
      <c r="H125" s="18"/>
      <c r="I125" s="18"/>
      <c r="J125" s="18"/>
      <c r="K125" s="18"/>
      <c r="L125" s="18"/>
      <c r="M125" s="18"/>
    </row>
    <row r="126" spans="1:13" ht="22.5" x14ac:dyDescent="0.25">
      <c r="A126" s="14" t="s">
        <v>67</v>
      </c>
      <c r="B126" s="14" t="s">
        <v>24</v>
      </c>
      <c r="C126" s="14" t="s">
        <v>48</v>
      </c>
      <c r="D126" s="24" t="s">
        <v>68</v>
      </c>
      <c r="E126" s="11"/>
      <c r="F126" s="11"/>
      <c r="G126" s="11"/>
      <c r="H126" s="11"/>
      <c r="I126" s="11"/>
      <c r="J126" s="11"/>
      <c r="K126" s="15">
        <f>K140</f>
        <v>12</v>
      </c>
      <c r="L126" s="15">
        <f>L140</f>
        <v>0</v>
      </c>
      <c r="M126" s="15">
        <f>M140</f>
        <v>0</v>
      </c>
    </row>
    <row r="127" spans="1:13" ht="33.75" x14ac:dyDescent="0.25">
      <c r="A127" s="11"/>
      <c r="B127" s="11"/>
      <c r="C127" s="11"/>
      <c r="D127" s="19" t="s">
        <v>69</v>
      </c>
      <c r="E127" s="11"/>
      <c r="F127" s="11"/>
      <c r="G127" s="11"/>
      <c r="H127" s="11"/>
      <c r="I127" s="11"/>
      <c r="J127" s="11"/>
      <c r="K127" s="11"/>
      <c r="L127" s="11"/>
      <c r="M127" s="11"/>
    </row>
    <row r="128" spans="1:13" x14ac:dyDescent="0.25">
      <c r="A128" s="11"/>
      <c r="B128" s="11"/>
      <c r="C128" s="11"/>
      <c r="D128" s="19"/>
      <c r="E128" s="14" t="s">
        <v>30</v>
      </c>
      <c r="F128" s="11">
        <v>1</v>
      </c>
      <c r="G128" s="16">
        <v>0</v>
      </c>
      <c r="H128" s="16">
        <v>0</v>
      </c>
      <c r="I128" s="16">
        <v>0</v>
      </c>
      <c r="J128" s="15">
        <f>F128*(G128+ (G128= 0))*(H128+ (H128= 0))*(I128+ (I128= 0))</f>
        <v>1</v>
      </c>
      <c r="K128" s="11"/>
      <c r="L128" s="11"/>
      <c r="M128" s="11"/>
    </row>
    <row r="129" spans="1:13" x14ac:dyDescent="0.25">
      <c r="A129" s="11"/>
      <c r="B129" s="11"/>
      <c r="C129" s="11"/>
      <c r="D129" s="19"/>
      <c r="E129" s="14" t="s">
        <v>31</v>
      </c>
      <c r="F129" s="11">
        <v>1</v>
      </c>
      <c r="G129" s="16">
        <v>0</v>
      </c>
      <c r="H129" s="16">
        <v>0</v>
      </c>
      <c r="I129" s="16">
        <v>0</v>
      </c>
      <c r="J129" s="15">
        <f>F129*(G129+ (G129= 0))*(H129+ (H129= 0))*(I129+ (I129= 0))</f>
        <v>1</v>
      </c>
      <c r="K129" s="11"/>
      <c r="L129" s="11"/>
      <c r="M129" s="11"/>
    </row>
    <row r="130" spans="1:13" x14ac:dyDescent="0.25">
      <c r="A130" s="11"/>
      <c r="B130" s="11"/>
      <c r="C130" s="11"/>
      <c r="D130" s="19"/>
      <c r="E130" s="14" t="s">
        <v>32</v>
      </c>
      <c r="F130" s="11">
        <v>1</v>
      </c>
      <c r="G130" s="16">
        <v>0</v>
      </c>
      <c r="H130" s="16">
        <v>0</v>
      </c>
      <c r="I130" s="16">
        <v>0</v>
      </c>
      <c r="J130" s="15">
        <f>F130*(G130+ (G130= 0))*(H130+ (H130= 0))*(I130+ (I130= 0))</f>
        <v>1</v>
      </c>
      <c r="K130" s="11"/>
      <c r="L130" s="11"/>
      <c r="M130" s="11"/>
    </row>
    <row r="131" spans="1:13" x14ac:dyDescent="0.25">
      <c r="A131" s="11"/>
      <c r="B131" s="11"/>
      <c r="C131" s="11"/>
      <c r="D131" s="19"/>
      <c r="E131" s="14" t="s">
        <v>33</v>
      </c>
      <c r="F131" s="11">
        <v>1</v>
      </c>
      <c r="G131" s="16">
        <v>0</v>
      </c>
      <c r="H131" s="16">
        <v>0</v>
      </c>
      <c r="I131" s="16">
        <v>0</v>
      </c>
      <c r="J131" s="15">
        <f>F131*(G131+ (G131= 0))*(H131+ (H131= 0))*(I131+ (I131= 0))</f>
        <v>1</v>
      </c>
      <c r="K131" s="11"/>
      <c r="L131" s="11"/>
      <c r="M131" s="11"/>
    </row>
    <row r="132" spans="1:13" x14ac:dyDescent="0.25">
      <c r="A132" s="11"/>
      <c r="B132" s="11"/>
      <c r="C132" s="11"/>
      <c r="D132" s="19"/>
      <c r="E132" s="14" t="s">
        <v>34</v>
      </c>
      <c r="F132" s="11">
        <v>1</v>
      </c>
      <c r="G132" s="16">
        <v>0</v>
      </c>
      <c r="H132" s="16">
        <v>0</v>
      </c>
      <c r="I132" s="16">
        <v>0</v>
      </c>
      <c r="J132" s="15">
        <f>F132*(G132+ (G132= 0))*(H132+ (H132= 0))*(I132+ (I132= 0))</f>
        <v>1</v>
      </c>
      <c r="K132" s="11"/>
      <c r="L132" s="11"/>
      <c r="M132" s="11"/>
    </row>
    <row r="133" spans="1:13" x14ac:dyDescent="0.25">
      <c r="A133" s="11"/>
      <c r="B133" s="11"/>
      <c r="C133" s="11"/>
      <c r="D133" s="19"/>
      <c r="E133" s="14" t="s">
        <v>35</v>
      </c>
      <c r="F133" s="11">
        <v>1</v>
      </c>
      <c r="G133" s="16">
        <v>0</v>
      </c>
      <c r="H133" s="16">
        <v>0</v>
      </c>
      <c r="I133" s="16">
        <v>0</v>
      </c>
      <c r="J133" s="15">
        <f>F133*(G133+ (G133= 0))*(H133+ (H133= 0))*(I133+ (I133= 0))</f>
        <v>1</v>
      </c>
      <c r="K133" s="11"/>
      <c r="L133" s="11"/>
      <c r="M133" s="11"/>
    </row>
    <row r="134" spans="1:13" x14ac:dyDescent="0.25">
      <c r="A134" s="11"/>
      <c r="B134" s="11"/>
      <c r="C134" s="11"/>
      <c r="D134" s="19"/>
      <c r="E134" s="14" t="s">
        <v>36</v>
      </c>
      <c r="F134" s="11">
        <v>1</v>
      </c>
      <c r="G134" s="16">
        <v>0</v>
      </c>
      <c r="H134" s="16">
        <v>0</v>
      </c>
      <c r="I134" s="16">
        <v>0</v>
      </c>
      <c r="J134" s="15">
        <f>F134*(G134+ (G134= 0))*(H134+ (H134= 0))*(I134+ (I134= 0))</f>
        <v>1</v>
      </c>
      <c r="K134" s="11"/>
      <c r="L134" s="11"/>
      <c r="M134" s="11"/>
    </row>
    <row r="135" spans="1:13" x14ac:dyDescent="0.25">
      <c r="A135" s="11"/>
      <c r="B135" s="11"/>
      <c r="C135" s="11"/>
      <c r="D135" s="19"/>
      <c r="E135" s="14" t="s">
        <v>37</v>
      </c>
      <c r="F135" s="11">
        <v>1</v>
      </c>
      <c r="G135" s="16">
        <v>0</v>
      </c>
      <c r="H135" s="16">
        <v>0</v>
      </c>
      <c r="I135" s="16">
        <v>0</v>
      </c>
      <c r="J135" s="15">
        <f>F135*(G135+ (G135= 0))*(H135+ (H135= 0))*(I135+ (I135= 0))</f>
        <v>1</v>
      </c>
      <c r="K135" s="11"/>
      <c r="L135" s="11"/>
      <c r="M135" s="11"/>
    </row>
    <row r="136" spans="1:13" x14ac:dyDescent="0.25">
      <c r="A136" s="11"/>
      <c r="B136" s="11"/>
      <c r="C136" s="11"/>
      <c r="D136" s="19"/>
      <c r="E136" s="14" t="s">
        <v>38</v>
      </c>
      <c r="F136" s="11">
        <v>1</v>
      </c>
      <c r="G136" s="16">
        <v>0</v>
      </c>
      <c r="H136" s="16">
        <v>0</v>
      </c>
      <c r="I136" s="16">
        <v>0</v>
      </c>
      <c r="J136" s="15">
        <f>F136*(G136+ (G136= 0))*(H136+ (H136= 0))*(I136+ (I136= 0))</f>
        <v>1</v>
      </c>
      <c r="K136" s="11"/>
      <c r="L136" s="11"/>
      <c r="M136" s="11"/>
    </row>
    <row r="137" spans="1:13" x14ac:dyDescent="0.25">
      <c r="A137" s="11"/>
      <c r="B137" s="11"/>
      <c r="C137" s="11"/>
      <c r="D137" s="19"/>
      <c r="E137" s="14" t="s">
        <v>39</v>
      </c>
      <c r="F137" s="11">
        <v>1</v>
      </c>
      <c r="G137" s="16">
        <v>0</v>
      </c>
      <c r="H137" s="16">
        <v>0</v>
      </c>
      <c r="I137" s="16">
        <v>0</v>
      </c>
      <c r="J137" s="15">
        <f>F137*(G137+ (G137= 0))*(H137+ (H137= 0))*(I137+ (I137= 0))</f>
        <v>1</v>
      </c>
      <c r="K137" s="11"/>
      <c r="L137" s="11"/>
      <c r="M137" s="11"/>
    </row>
    <row r="138" spans="1:13" x14ac:dyDescent="0.25">
      <c r="A138" s="11"/>
      <c r="B138" s="11"/>
      <c r="C138" s="11"/>
      <c r="D138" s="19"/>
      <c r="E138" s="14" t="s">
        <v>40</v>
      </c>
      <c r="F138" s="11">
        <v>1</v>
      </c>
      <c r="G138" s="16">
        <v>0</v>
      </c>
      <c r="H138" s="16">
        <v>0</v>
      </c>
      <c r="I138" s="16">
        <v>0</v>
      </c>
      <c r="J138" s="15">
        <f>F138*(G138+ (G138= 0))*(H138+ (H138= 0))*(I138+ (I138= 0))</f>
        <v>1</v>
      </c>
      <c r="K138" s="11"/>
      <c r="L138" s="11"/>
      <c r="M138" s="11"/>
    </row>
    <row r="139" spans="1:13" x14ac:dyDescent="0.25">
      <c r="A139" s="11"/>
      <c r="B139" s="11"/>
      <c r="C139" s="11"/>
      <c r="D139" s="19"/>
      <c r="E139" s="14" t="s">
        <v>41</v>
      </c>
      <c r="F139" s="11">
        <v>1</v>
      </c>
      <c r="G139" s="16">
        <v>0</v>
      </c>
      <c r="H139" s="16">
        <v>0</v>
      </c>
      <c r="I139" s="16">
        <v>0</v>
      </c>
      <c r="J139" s="15">
        <f>F139*(G139+ (G139= 0))*(H139+ (H139= 0))*(I139+ (I139= 0))</f>
        <v>1</v>
      </c>
      <c r="K139" s="11"/>
      <c r="L139" s="11"/>
      <c r="M139" s="11"/>
    </row>
    <row r="140" spans="1:13" x14ac:dyDescent="0.25">
      <c r="A140" s="11"/>
      <c r="B140" s="11"/>
      <c r="C140" s="11"/>
      <c r="D140" s="19"/>
      <c r="E140" s="11"/>
      <c r="F140" s="11"/>
      <c r="G140" s="11"/>
      <c r="H140" s="11"/>
      <c r="I140" s="11"/>
      <c r="J140" s="17" t="s">
        <v>70</v>
      </c>
      <c r="K140" s="10">
        <f>SUM(J128:J139)</f>
        <v>12</v>
      </c>
      <c r="L140" s="16">
        <v>0</v>
      </c>
      <c r="M140" s="10">
        <f>ROUND(L140*K140,2)</f>
        <v>0</v>
      </c>
    </row>
    <row r="141" spans="1:13" ht="0.95" customHeight="1" x14ac:dyDescent="0.25">
      <c r="A141" s="18"/>
      <c r="B141" s="18"/>
      <c r="C141" s="18"/>
      <c r="D141" s="25"/>
      <c r="E141" s="18"/>
      <c r="F141" s="18"/>
      <c r="G141" s="18"/>
      <c r="H141" s="18"/>
      <c r="I141" s="18"/>
      <c r="J141" s="18"/>
      <c r="K141" s="18"/>
      <c r="L141" s="18"/>
      <c r="M141" s="18"/>
    </row>
    <row r="142" spans="1:13" x14ac:dyDescent="0.25">
      <c r="A142" s="11"/>
      <c r="B142" s="11"/>
      <c r="C142" s="11"/>
      <c r="D142" s="19"/>
      <c r="E142" s="11"/>
      <c r="F142" s="11"/>
      <c r="G142" s="11"/>
      <c r="H142" s="11"/>
      <c r="I142" s="11"/>
      <c r="J142" s="17" t="s">
        <v>71</v>
      </c>
      <c r="K142" s="16">
        <v>1</v>
      </c>
      <c r="L142" s="10">
        <f>M11+M27+M43+M59+M75+M91+M108+M124+M140</f>
        <v>0</v>
      </c>
      <c r="M142" s="10">
        <f>ROUND(L142*K142,2)</f>
        <v>0</v>
      </c>
    </row>
    <row r="143" spans="1:13" ht="0.95" customHeight="1" x14ac:dyDescent="0.25">
      <c r="A143" s="18"/>
      <c r="B143" s="18"/>
      <c r="C143" s="18"/>
      <c r="D143" s="25"/>
      <c r="E143" s="18"/>
      <c r="F143" s="18"/>
      <c r="G143" s="18"/>
      <c r="H143" s="18"/>
      <c r="I143" s="18"/>
      <c r="J143" s="18"/>
      <c r="K143" s="18"/>
      <c r="L143" s="18"/>
      <c r="M143" s="18"/>
    </row>
    <row r="144" spans="1:13" x14ac:dyDescent="0.25">
      <c r="A144" s="11"/>
      <c r="B144" s="11"/>
      <c r="C144" s="11"/>
      <c r="D144" s="19"/>
      <c r="E144" s="11"/>
      <c r="F144" s="11"/>
      <c r="G144" s="11"/>
      <c r="H144" s="11"/>
      <c r="I144" s="11"/>
      <c r="J144" s="17" t="s">
        <v>72</v>
      </c>
      <c r="K144" s="20">
        <v>1</v>
      </c>
      <c r="L144" s="10">
        <f>M142</f>
        <v>0</v>
      </c>
      <c r="M144" s="10">
        <f>ROUND(L144*K144,2)</f>
        <v>0</v>
      </c>
    </row>
    <row r="145" spans="1:13" ht="0.95" customHeight="1" x14ac:dyDescent="0.25">
      <c r="A145" s="18"/>
      <c r="B145" s="18"/>
      <c r="C145" s="18"/>
      <c r="D145" s="25"/>
      <c r="E145" s="18"/>
      <c r="F145" s="18"/>
      <c r="G145" s="18"/>
      <c r="H145" s="18"/>
      <c r="I145" s="18"/>
      <c r="J145" s="18"/>
      <c r="K145" s="18"/>
      <c r="L145" s="18"/>
      <c r="M145" s="18"/>
    </row>
    <row r="146" spans="1:13" x14ac:dyDescent="0.25">
      <c r="A146" s="11"/>
      <c r="B146" s="11"/>
      <c r="C146" s="11"/>
      <c r="D146" s="19"/>
      <c r="E146" s="11"/>
      <c r="F146" s="11"/>
      <c r="G146" s="11"/>
      <c r="H146" s="11"/>
      <c r="I146" s="11"/>
      <c r="J146" s="17" t="s">
        <v>73</v>
      </c>
      <c r="K146" s="20">
        <v>1</v>
      </c>
      <c r="L146" s="10">
        <f>M144</f>
        <v>0</v>
      </c>
      <c r="M146" s="10">
        <f>ROUND(L146*K146,2)</f>
        <v>0</v>
      </c>
    </row>
    <row r="147" spans="1:13" x14ac:dyDescent="0.25">
      <c r="A147" s="11"/>
      <c r="B147" s="11"/>
      <c r="C147" s="11"/>
      <c r="D147" s="19"/>
      <c r="E147" s="11"/>
      <c r="F147" s="11"/>
      <c r="G147" s="11"/>
      <c r="H147" s="11"/>
      <c r="I147" s="11"/>
      <c r="J147" s="11"/>
      <c r="K147" s="11"/>
      <c r="L147" s="11"/>
      <c r="M147" s="11"/>
    </row>
  </sheetData>
  <dataValidations count="1">
    <dataValidation type="list" allowBlank="1" showInputMessage="1" showErrorMessage="1" sqref="B4:B147">
      <formula1>"Capítulo,Partida,Mano de obra,Maquinaria,Material,Otros,"</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2025-05-30T07:07:41Z</dcterms:created>
  <dcterms:modified xsi:type="dcterms:W3CDTF">2025-05-30T07:08:05Z</dcterms:modified>
</cp:coreProperties>
</file>