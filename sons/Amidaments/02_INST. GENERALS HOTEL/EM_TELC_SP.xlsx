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cuments 2025\_PR_25_012 HOT HOTEL CABAU AQUASOL\7.- PROJECTE LICITACIÓ Y EXECUTIU\1.- Documents\Amidaments\INST. GENERALS HOTEL\"/>
    </mc:Choice>
  </mc:AlternateContent>
  <xr:revisionPtr revIDLastSave="0" documentId="8_{85797FC8-611A-4126-9ACA-2AF58999B92B}" xr6:coauthVersionLast="47" xr6:coauthVersionMax="47" xr10:uidLastSave="{00000000-0000-0000-0000-000000000000}"/>
  <bookViews>
    <workbookView xWindow="-120" yWindow="-120" windowWidth="29040" windowHeight="15840" xr2:uid="{A38CD04E-78C0-41BC-B894-8C66CE1553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78" i="1" l="1"/>
  <c r="L278" i="1"/>
  <c r="M4" i="1"/>
  <c r="M276" i="1"/>
  <c r="K4" i="1"/>
  <c r="L4" i="1"/>
  <c r="L276" i="1"/>
  <c r="M274" i="1"/>
  <c r="M28" i="1"/>
  <c r="M272" i="1"/>
  <c r="K28" i="1"/>
  <c r="L28" i="1"/>
  <c r="L272" i="1"/>
  <c r="M258" i="1"/>
  <c r="M270" i="1"/>
  <c r="K258" i="1"/>
  <c r="L258" i="1"/>
  <c r="L270" i="1"/>
  <c r="M265" i="1"/>
  <c r="M268" i="1"/>
  <c r="K265" i="1"/>
  <c r="K268" i="1"/>
  <c r="L265" i="1"/>
  <c r="J267" i="1"/>
  <c r="M260" i="1"/>
  <c r="M263" i="1"/>
  <c r="K260" i="1"/>
  <c r="K263" i="1"/>
  <c r="L260" i="1"/>
  <c r="J262" i="1"/>
  <c r="M256" i="1"/>
  <c r="M227" i="1"/>
  <c r="M254" i="1"/>
  <c r="K227" i="1"/>
  <c r="L227" i="1"/>
  <c r="L254" i="1"/>
  <c r="M252" i="1"/>
  <c r="M229" i="1"/>
  <c r="M250" i="1"/>
  <c r="K229" i="1"/>
  <c r="L229" i="1"/>
  <c r="L250" i="1"/>
  <c r="M243" i="1"/>
  <c r="M248" i="1"/>
  <c r="K243" i="1"/>
  <c r="K248" i="1"/>
  <c r="L243" i="1"/>
  <c r="J247" i="1"/>
  <c r="J246" i="1"/>
  <c r="J245" i="1"/>
  <c r="M238" i="1"/>
  <c r="M241" i="1"/>
  <c r="K238" i="1"/>
  <c r="K241" i="1"/>
  <c r="L238" i="1"/>
  <c r="J240" i="1"/>
  <c r="M231" i="1"/>
  <c r="M236" i="1"/>
  <c r="K231" i="1"/>
  <c r="K236" i="1"/>
  <c r="L231" i="1"/>
  <c r="J235" i="1"/>
  <c r="J234" i="1"/>
  <c r="J233" i="1"/>
  <c r="M136" i="1"/>
  <c r="M225" i="1"/>
  <c r="K136" i="1"/>
  <c r="L136" i="1"/>
  <c r="L225" i="1"/>
  <c r="M205" i="1"/>
  <c r="M223" i="1"/>
  <c r="K205" i="1"/>
  <c r="K223" i="1"/>
  <c r="L205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M185" i="1"/>
  <c r="M203" i="1"/>
  <c r="K185" i="1"/>
  <c r="K203" i="1"/>
  <c r="L185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M180" i="1"/>
  <c r="M183" i="1"/>
  <c r="K180" i="1"/>
  <c r="K183" i="1"/>
  <c r="L180" i="1"/>
  <c r="J182" i="1"/>
  <c r="M160" i="1"/>
  <c r="M178" i="1"/>
  <c r="K160" i="1"/>
  <c r="K178" i="1"/>
  <c r="L160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M155" i="1"/>
  <c r="M158" i="1"/>
  <c r="K155" i="1"/>
  <c r="K158" i="1"/>
  <c r="L155" i="1"/>
  <c r="J157" i="1"/>
  <c r="M138" i="1"/>
  <c r="M153" i="1"/>
  <c r="K138" i="1"/>
  <c r="K153" i="1"/>
  <c r="L138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M40" i="1"/>
  <c r="M134" i="1"/>
  <c r="K40" i="1"/>
  <c r="L40" i="1"/>
  <c r="L134" i="1"/>
  <c r="M113" i="1"/>
  <c r="M132" i="1"/>
  <c r="K113" i="1"/>
  <c r="K132" i="1"/>
  <c r="L113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M84" i="1"/>
  <c r="M111" i="1"/>
  <c r="K84" i="1"/>
  <c r="K111" i="1"/>
  <c r="L84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M63" i="1"/>
  <c r="M82" i="1"/>
  <c r="K63" i="1"/>
  <c r="K82" i="1"/>
  <c r="L63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M42" i="1"/>
  <c r="M61" i="1"/>
  <c r="K42" i="1"/>
  <c r="K61" i="1"/>
  <c r="L42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M30" i="1"/>
  <c r="M38" i="1"/>
  <c r="K30" i="1"/>
  <c r="L30" i="1"/>
  <c r="L38" i="1"/>
  <c r="M32" i="1"/>
  <c r="M36" i="1"/>
  <c r="K32" i="1"/>
  <c r="K36" i="1"/>
  <c r="L32" i="1"/>
  <c r="J35" i="1"/>
  <c r="J34" i="1"/>
  <c r="M26" i="1"/>
  <c r="M16" i="1"/>
  <c r="M24" i="1"/>
  <c r="K16" i="1"/>
  <c r="L16" i="1"/>
  <c r="L24" i="1"/>
  <c r="M18" i="1"/>
  <c r="M22" i="1"/>
  <c r="K18" i="1"/>
  <c r="K22" i="1"/>
  <c r="L18" i="1"/>
  <c r="J21" i="1"/>
  <c r="J20" i="1"/>
  <c r="M6" i="1"/>
  <c r="M14" i="1"/>
  <c r="K6" i="1"/>
  <c r="L6" i="1"/>
  <c r="L14" i="1"/>
  <c r="M8" i="1"/>
  <c r="M12" i="1"/>
  <c r="K8" i="1"/>
  <c r="K12" i="1"/>
  <c r="L8" i="1"/>
  <c r="J11" i="1"/>
  <c r="J10" i="1"/>
</calcChain>
</file>

<file path=xl/sharedStrings.xml><?xml version="1.0" encoding="utf-8"?>
<sst xmlns="http://schemas.openxmlformats.org/spreadsheetml/2006/main" count="352" uniqueCount="193">
  <si>
    <t>Reforma y ampliación Hotel-apartamentos Aquasol</t>
  </si>
  <si>
    <t>Presupuesto</t>
  </si>
  <si>
    <t>Código</t>
  </si>
  <si>
    <t>Resumen</t>
  </si>
  <si>
    <t>ImpPres</t>
  </si>
  <si>
    <t>Nat</t>
  </si>
  <si>
    <t>Ud</t>
  </si>
  <si>
    <t>CanPres</t>
  </si>
  <si>
    <t>PrPres</t>
  </si>
  <si>
    <t>Comentario</t>
  </si>
  <si>
    <t>N</t>
  </si>
  <si>
    <t>Longitud</t>
  </si>
  <si>
    <t>Anchura</t>
  </si>
  <si>
    <t>Altura</t>
  </si>
  <si>
    <t>Parcial</t>
  </si>
  <si>
    <t xml:space="preserve">T            </t>
  </si>
  <si>
    <t>TELECOMUNICACIONES</t>
  </si>
  <si>
    <t>Capítulo</t>
  </si>
  <si>
    <t>u</t>
  </si>
  <si>
    <t xml:space="preserve">T01          </t>
  </si>
  <si>
    <t>RED DE TELEFONIA</t>
  </si>
  <si>
    <t xml:space="preserve">DESMTLCZN    </t>
  </si>
  <si>
    <t>DESMONTAJE DE INSTALACION EXISTENTE</t>
  </si>
  <si>
    <t>Partida</t>
  </si>
  <si>
    <t>Escaleras</t>
  </si>
  <si>
    <t>Ed. Principal</t>
  </si>
  <si>
    <t>DESMTLCZN</t>
  </si>
  <si>
    <t>T01</t>
  </si>
  <si>
    <t xml:space="preserve">T02          </t>
  </si>
  <si>
    <t>R-TV+SAT</t>
  </si>
  <si>
    <t xml:space="preserve">DESMTLCZNRTV </t>
  </si>
  <si>
    <t>EScaleras</t>
  </si>
  <si>
    <t>Edificio Pral</t>
  </si>
  <si>
    <t>DESMTLCZNRTV</t>
  </si>
  <si>
    <t>T02</t>
  </si>
  <si>
    <t xml:space="preserve">T03          </t>
  </si>
  <si>
    <t>CCTV</t>
  </si>
  <si>
    <t xml:space="preserve">T04          </t>
  </si>
  <si>
    <t>RED DE DATOS</t>
  </si>
  <si>
    <t xml:space="preserve">T04.1        </t>
  </si>
  <si>
    <t>TRABAJOS PREVIOS</t>
  </si>
  <si>
    <t xml:space="preserve">DESMTLCDA    </t>
  </si>
  <si>
    <t>Ed. Pral</t>
  </si>
  <si>
    <t>DESMTLCDA</t>
  </si>
  <si>
    <t>T04.1</t>
  </si>
  <si>
    <t xml:space="preserve">T04.2        </t>
  </si>
  <si>
    <t>RED TRONCAL</t>
  </si>
  <si>
    <t xml:space="preserve">Está constituida por el conjunto de cables de fibra óptica destinada a la unión de los racks de datos. Racks ala izquierda y ala derecha con rack central
</t>
  </si>
  <si>
    <t xml:space="preserve">FOSM         </t>
  </si>
  <si>
    <t>CABLE F0 4 FIBRAS MULTIMODO OM4</t>
  </si>
  <si>
    <t>m</t>
  </si>
  <si>
    <t>De Rack CPD a Rack</t>
  </si>
  <si>
    <t>Escalera A</t>
  </si>
  <si>
    <t>Escalera B</t>
  </si>
  <si>
    <t>Escalera C</t>
  </si>
  <si>
    <t>Escalera D</t>
  </si>
  <si>
    <t>Escalera E</t>
  </si>
  <si>
    <t>Escalera F</t>
  </si>
  <si>
    <t>Escalera G</t>
  </si>
  <si>
    <t>Escalera H</t>
  </si>
  <si>
    <t>Escalera I</t>
  </si>
  <si>
    <t>Escalera J</t>
  </si>
  <si>
    <t>Escalera K</t>
  </si>
  <si>
    <t>Escalera L</t>
  </si>
  <si>
    <t>Escalera M</t>
  </si>
  <si>
    <t>Escalera N</t>
  </si>
  <si>
    <t>S. Calderas</t>
  </si>
  <si>
    <t>Ed. Piscina</t>
  </si>
  <si>
    <t>FOSM</t>
  </si>
  <si>
    <t xml:space="preserve">PTF025       </t>
  </si>
  <si>
    <t>TUBO CORRUGADO FLEXIBLE LIBRE DE HALOGENOS Ø25mm</t>
  </si>
  <si>
    <t>ml</t>
  </si>
  <si>
    <t>Interior</t>
  </si>
  <si>
    <t>PTF025</t>
  </si>
  <si>
    <t xml:space="preserve">TUBPEAD75    </t>
  </si>
  <si>
    <t>TUBO PEAD D75mm DOBLE CAPA INTERIOR LISO</t>
  </si>
  <si>
    <t>De arqueta salida ed. pral Rack CPD a arquetas entrada escalera</t>
  </si>
  <si>
    <t>Tubo 1. Escaleras A-B-C</t>
  </si>
  <si>
    <t>Tubo 2. Escaleras D-E-F-G</t>
  </si>
  <si>
    <t>Tubo 3. Escaleras H-I-Ed. Piscina</t>
  </si>
  <si>
    <t>Tubo 4. Escaleras J-K-L-S. Calderas</t>
  </si>
  <si>
    <t>Tubo 5. Escaleras M-N</t>
  </si>
  <si>
    <t>Tubo 6. Reserva</t>
  </si>
  <si>
    <t>De Arqueta a entrada Escalera (2 tubos -  1 de reserva)</t>
  </si>
  <si>
    <t/>
  </si>
  <si>
    <t>TUBPEAD75</t>
  </si>
  <si>
    <t xml:space="preserve">PRUEB        </t>
  </si>
  <si>
    <t>PRUEBAS OTDR</t>
  </si>
  <si>
    <t xml:space="preserve">Pruebas con OTDR en ambos sentidos de todos los circuitos, entregar documenttación, en papel y digital.
</t>
  </si>
  <si>
    <t>De Rack CPD a Rack nº fibras</t>
  </si>
  <si>
    <t>PRUEB</t>
  </si>
  <si>
    <t>T04.2</t>
  </si>
  <si>
    <t xml:space="preserve">T04.3        </t>
  </si>
  <si>
    <t>RED DE DISPERSION</t>
  </si>
  <si>
    <t xml:space="preserve">Todas las terminaciones de cableado irán a toma RJ45 Cat.6.
</t>
  </si>
  <si>
    <t xml:space="preserve">DC6KYSTUWT   </t>
  </si>
  <si>
    <t>TOMA RJ-45 CAT 6</t>
  </si>
  <si>
    <t>Clima Bomba calor Daikin</t>
  </si>
  <si>
    <t>Rack Escalera A</t>
  </si>
  <si>
    <t>Rack Escalera C</t>
  </si>
  <si>
    <t>Rack Escalera D</t>
  </si>
  <si>
    <t>Rack Escalera F</t>
  </si>
  <si>
    <t>Rack Escalera L</t>
  </si>
  <si>
    <t>Rack S. Calderas</t>
  </si>
  <si>
    <t>Rac Edif. Pral</t>
  </si>
  <si>
    <t>BMS</t>
  </si>
  <si>
    <t>Rack Ed. Piscina (en mediciones ed. piscina)</t>
  </si>
  <si>
    <t>Otros</t>
  </si>
  <si>
    <t>DC6KYSTUWT</t>
  </si>
  <si>
    <t xml:space="preserve">TOMASUPERF   </t>
  </si>
  <si>
    <t>TOMA DE DATOS DE SUPERFICIE</t>
  </si>
  <si>
    <t xml:space="preserve">Suministro e instalación de toma de datos de superfície, incluso marco y soporte para base Keystone, simon 82 o similar equivalente. Incluso pp de accesorios y material necesario para su montaje y sujeción.
</t>
  </si>
  <si>
    <t>TOMASUPERF</t>
  </si>
  <si>
    <t xml:space="preserve">CABLEUTP7    </t>
  </si>
  <si>
    <t>CABLE S/FTP 4 pares CAT6</t>
  </si>
  <si>
    <t xml:space="preserve">Suministro e instalación de Cable Cat 6 S/FTP AWG24.
.Totalmente instalado e identificado, para llevar el servicio desde el patch panel rack de voz-datos  de cada zona hasta la toma de RJ45.
</t>
  </si>
  <si>
    <t>TVs habitaciones</t>
  </si>
  <si>
    <t>TFs habitaciones</t>
  </si>
  <si>
    <t>AP WIFI HABITACIONES</t>
  </si>
  <si>
    <t>CABLEUTP7</t>
  </si>
  <si>
    <t xml:space="preserve">PTF020       </t>
  </si>
  <si>
    <t>TUBO CORRUGADO FLEXIBLE LIBRE DE HALOGENOS Ø20mm</t>
  </si>
  <si>
    <t>PTF020</t>
  </si>
  <si>
    <t xml:space="preserve">CERTRED      </t>
  </si>
  <si>
    <t>CERTIFICACION DE RED</t>
  </si>
  <si>
    <t xml:space="preserve">Certificación de cableado y tomas de red CAT6, mediante analizador de red Fluke, incluso documentación.
</t>
  </si>
  <si>
    <t>Telefonos habitacioens</t>
  </si>
  <si>
    <t>TV habitacioens</t>
  </si>
  <si>
    <t>AP Wifi Habitaciones</t>
  </si>
  <si>
    <t>Rack Ed. Piscina (en mediciones Ed. Piscina)</t>
  </si>
  <si>
    <t>CERTRED</t>
  </si>
  <si>
    <t xml:space="preserve">LATIG        </t>
  </si>
  <si>
    <t>LATIGUILLOS RJ 45 CAT 6 2m</t>
  </si>
  <si>
    <t xml:space="preserve">Suministro e instalación de latiguillos para parcheo en rack y equipos terminales, RJ45 de Categoria.6 S/FTP COBRE AWG24 LSHZ 500 MHZ. Cable de conexión para conexiones de red entre dispositivos. Cable de par trenzado blindado (PiMF) preparado (Cat.6) con conectores RJ-45 en ambos extremos.  Construcción: 8 líneas, pares blindados con papel de aluminio, blindaje trenzado completo
</t>
  </si>
  <si>
    <t>Telefonos habitaciones</t>
  </si>
  <si>
    <t>TV habitaciones</t>
  </si>
  <si>
    <t>LATIG</t>
  </si>
  <si>
    <t>T04.3</t>
  </si>
  <si>
    <t xml:space="preserve">T04.4        </t>
  </si>
  <si>
    <t>RACKS DE DATOS</t>
  </si>
  <si>
    <t xml:space="preserve">T04.4.1      </t>
  </si>
  <si>
    <t>ARMARIOS RACKS</t>
  </si>
  <si>
    <t xml:space="preserve">RACK         </t>
  </si>
  <si>
    <t>RACK 9 U</t>
  </si>
  <si>
    <t xml:space="preserve">Suministro e instalación de Rack Mural 19" 9U F450mm. Puerta de cristal con cerradura.(alto 500 , ancho 600 , fondo 450 mm).
Características:
- Armario rack mural con ancho de perfil estándar de 19” con accesorios, diseño y acabado de calidad.
– Puerta delantera con cristal de seguridad templado de 4 mm. y apertura de seguridad con llave.
– Paneles laterales desmontables de fácil apertura con cierre lateral.
– Entrada de cableado por el panel trasero y la base inferior.
– perfiles de rack ajustable*.
– Ubicable tanto en pared como en suelo.
– Cumple con las normativas CE y medioambientales RoHS.
Especificaciones técnicas.
– Desengrasado y pintura fosfórica anti-óxido.
– Grado de Protección: IP20.
– Capacidad de carga: 60 Kg.
– Grosor de acero: Carriles 2.0 mm. | ángulos 1,5 mm, resto 1,2 mm.
– Material: Acero SPCC laminado.
– Color: Negro RAL 9004, acabado liso.
Incluso pp de accesorios, para su montaje y soportación.
</t>
  </si>
  <si>
    <t>escaleras</t>
  </si>
  <si>
    <t>edificio piscina</t>
  </si>
  <si>
    <t>s. calderas</t>
  </si>
  <si>
    <t>RACK</t>
  </si>
  <si>
    <t xml:space="preserve">GUIA CABL    </t>
  </si>
  <si>
    <t>Panel 19" guía cables 1 unidad con tapa.Instalado.</t>
  </si>
  <si>
    <t xml:space="preserve">Suministro e instalación de Panel 19" guía cables 1 unidad con tapa.Instalado.
</t>
  </si>
  <si>
    <t>GUIA CABL</t>
  </si>
  <si>
    <t xml:space="preserve">BAC6         </t>
  </si>
  <si>
    <t>BASE DE TOMA DE CORRIENTE MULTIPLE 6 u SHUCKO</t>
  </si>
  <si>
    <t xml:space="preserve">Suministro e instalación de base multiple de tomas de corriente schuko formado por 6 tomas de corriente 16A/2p+TT. Incluso pp de accesorios y material necesario para su montaje y conexionado.
</t>
  </si>
  <si>
    <t>BAC6</t>
  </si>
  <si>
    <t>T04.4.1</t>
  </si>
  <si>
    <t xml:space="preserve">T04.4.2      </t>
  </si>
  <si>
    <t>SWITCHES</t>
  </si>
  <si>
    <t>T04.4</t>
  </si>
  <si>
    <t xml:space="preserve">T04.5        </t>
  </si>
  <si>
    <t>PUNTO DE ACCESO INALAMBRICO (WI-FI)</t>
  </si>
  <si>
    <t xml:space="preserve">T04.6        </t>
  </si>
  <si>
    <t>PRUEBAS INSTALACION Y DOCUMENTACION</t>
  </si>
  <si>
    <t xml:space="preserve">VERFS        </t>
  </si>
  <si>
    <t>VERIFICACION DEL SISTEMA DE CABLEADO E INTERCONEXION</t>
  </si>
  <si>
    <t>VERFS</t>
  </si>
  <si>
    <t xml:space="preserve">DOCFOB       </t>
  </si>
  <si>
    <t>DOCUMENTACION FINAL OBRA</t>
  </si>
  <si>
    <t xml:space="preserve">Elaboración de documentación final de obra (certificados y fichas técnicas de materiales y equipos, listado de puntos) y entrega en papel y formato USB.
</t>
  </si>
  <si>
    <t>DOCFOB</t>
  </si>
  <si>
    <t>T04.6</t>
  </si>
  <si>
    <t>T04</t>
  </si>
  <si>
    <t xml:space="preserve">T05          </t>
  </si>
  <si>
    <t>SONIDO</t>
  </si>
  <si>
    <t xml:space="preserve">No se interviene
</t>
  </si>
  <si>
    <t>T</t>
  </si>
  <si>
    <t>HEP</t>
  </si>
  <si>
    <t>Alcance intervención: Cableado estructurado Cat 6 de conector RJ45 Cat 6 hasta racks. En capitulo Red de Datos y Tomas de habitaciones en Capitulo Electricidad. 
Telefonos VOIP a suministrar e instalar por proveedor IT de Cabau Aquasol</t>
  </si>
  <si>
    <t>Desmontaje de instalación existente analogica convencional: cableado, canalizacion, telefonos analogicos, latiguillos. Incluso transporte y gastos de gestor de residuos incluidos.</t>
  </si>
  <si>
    <t>Desmontaje de instalación actual antenas, cabecera, cableado, tomas,... El servicio se realizará integramente mediente IPTV por internet.
Cableado en capitulo Red de Datos, y tomas de habitaciones en capitulo de Electricidad.</t>
  </si>
  <si>
    <t>Desmontaje de instalación actual: antenas, cabecera, cableado, tomas,.... Incluso transporte y gastos de gestor de residuos incluidos.</t>
  </si>
  <si>
    <t>Pendiente Definir alcance.</t>
  </si>
  <si>
    <t>Desmontaje de instalación existente: canalizacion, cableado, tomas. Incluso transporte y gastos de gestor de residuos incluidos.</t>
  </si>
  <si>
    <t>Suministro e instalación de Cable 6 fibras interior/exterior Multimodo OM4 (50/125 µm)  armada dieléctrica antirroedores .Instalada. Marca telnet modelo Serie FOC-OUTDOOR-LT-OM4-04 o similar equivalente</t>
  </si>
  <si>
    <t>Suministro e instalación de tubo corrugado flexible códigos 222140422010 de Øexterior 25 mm según UNE-EN 50086-2-2, libre de halogenos y no propagador de la llama, empotrado en muros, tabique y pavimento o por falso techo. Se incluye parte proporcional sujeciones tubo (por falso techo), accesorios y pequeño material. Conexionado y montaje.</t>
  </si>
  <si>
    <t>Suministro e instalación de tubo para instalación superficial de PEAD doble capa interior liso D75mm color naranja para canalizaciones eléctricas y de telecomunicaciones. Incluso pp de accesorios, y elementos necesarios para conexionado y soportación.</t>
  </si>
  <si>
    <t>Suministro e instalación de Conector RJ45 Cat6 FTP Keystone Marca Corning o similar equivalente.Totalmente instalado y en funcionamiento. Marcos, tapa y accesorios en capitulo Mecanismos Electricos</t>
  </si>
  <si>
    <t>Suministro e instalación de tubo corrugado flexible códigos 222140422010 de Øexterior 20 mm según UNE-EN 50086-2-2, libre de halogenos y no propagador de la llama, empotrado en muros, tabique y pavimento o por falso techo. Se incluye parte proporcional sujeciones tubo (por falso techo), accesorios y pequeño material. Conexionado y montaje.</t>
  </si>
  <si>
    <t>Verificación del sistema de cableado e interconexión, funcionamiento de todos los equipos.</t>
  </si>
  <si>
    <t>Suministro e instalacion de AP Wifis nuevos y reaprovechados a realizar por proveedor IT de Cabau Aquasol</t>
  </si>
  <si>
    <t>Suministro e instalacion de electronica de red, pigtails, latiguillos, ... a realizar por proveedor IT de Cabau Aquasol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</si>
</sst>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right" vertical="top"/>
    </xf>
    <xf numFmtId="49" fontId="4" fillId="3" borderId="0" xfId="0" applyNumberFormat="1" applyFont="1" applyFill="1" applyAlignment="1">
      <alignment vertical="top"/>
    </xf>
    <xf numFmtId="0" fontId="4" fillId="3" borderId="0" xfId="0" applyFont="1" applyFill="1" applyAlignment="1">
      <alignment vertical="top"/>
    </xf>
    <xf numFmtId="3" fontId="4" fillId="2" borderId="0" xfId="0" applyNumberFormat="1" applyFont="1" applyFill="1" applyAlignment="1">
      <alignment vertical="top"/>
    </xf>
    <xf numFmtId="4" fontId="4" fillId="2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49" fontId="4" fillId="4" borderId="0" xfId="0" applyNumberFormat="1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/>
    </xf>
    <xf numFmtId="4" fontId="3" fillId="2" borderId="0" xfId="0" applyNumberFormat="1" applyFont="1" applyFill="1" applyAlignment="1">
      <alignment vertical="top"/>
    </xf>
    <xf numFmtId="4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3" fillId="5" borderId="0" xfId="0" applyFont="1" applyFill="1" applyAlignment="1">
      <alignment vertical="top"/>
    </xf>
    <xf numFmtId="4" fontId="4" fillId="4" borderId="0" xfId="0" applyNumberFormat="1" applyFont="1" applyFill="1" applyAlignment="1">
      <alignment vertical="top"/>
    </xf>
    <xf numFmtId="3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 wrapText="1"/>
    </xf>
    <xf numFmtId="49" fontId="4" fillId="3" borderId="0" xfId="0" applyNumberFormat="1" applyFont="1" applyFill="1" applyAlignment="1">
      <alignment vertical="top" wrapText="1"/>
    </xf>
    <xf numFmtId="49" fontId="4" fillId="4" borderId="0" xfId="0" applyNumberFormat="1" applyFont="1" applyFill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2DC0-CC6D-48AA-AE11-3E74BEA2BE2E}">
  <dimension ref="A1:M279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246" sqref="D246"/>
    </sheetView>
  </sheetViews>
  <sheetFormatPr baseColWidth="10" defaultRowHeight="15" x14ac:dyDescent="0.25"/>
  <cols>
    <col min="1" max="1" width="15.5703125" bestFit="1" customWidth="1"/>
    <col min="2" max="2" width="6.5703125" bestFit="1" customWidth="1"/>
    <col min="3" max="3" width="3.7109375" bestFit="1" customWidth="1"/>
    <col min="4" max="4" width="107.140625" customWidth="1"/>
    <col min="5" max="5" width="25.140625" customWidth="1"/>
    <col min="6" max="6" width="4.42578125" bestFit="1" customWidth="1"/>
    <col min="7" max="7" width="8.5703125" bestFit="1" customWidth="1"/>
    <col min="8" max="8" width="8.140625" bestFit="1" customWidth="1"/>
    <col min="9" max="9" width="6.5703125" bestFit="1" customWidth="1"/>
    <col min="11" max="11" width="7.85546875" bestFit="1" customWidth="1"/>
    <col min="12" max="12" width="6.5703125" bestFit="1" customWidth="1"/>
    <col min="13" max="13" width="7.7109375" bestFit="1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2</v>
      </c>
      <c r="B3" s="5" t="s">
        <v>5</v>
      </c>
      <c r="C3" s="5" t="s">
        <v>6</v>
      </c>
      <c r="D3" s="22" t="s">
        <v>3</v>
      </c>
      <c r="E3" s="5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7</v>
      </c>
      <c r="L3" s="6" t="s">
        <v>8</v>
      </c>
      <c r="M3" s="6" t="s">
        <v>4</v>
      </c>
    </row>
    <row r="4" spans="1:13" x14ac:dyDescent="0.25">
      <c r="A4" s="7" t="s">
        <v>15</v>
      </c>
      <c r="B4" s="7" t="s">
        <v>17</v>
      </c>
      <c r="C4" s="7" t="s">
        <v>18</v>
      </c>
      <c r="D4" s="23" t="s">
        <v>16</v>
      </c>
      <c r="E4" s="8"/>
      <c r="F4" s="8"/>
      <c r="G4" s="8"/>
      <c r="H4" s="8"/>
      <c r="I4" s="8"/>
      <c r="J4" s="8"/>
      <c r="K4" s="9">
        <f>K276</f>
        <v>1</v>
      </c>
      <c r="L4" s="10">
        <f>L276</f>
        <v>0</v>
      </c>
      <c r="M4" s="10">
        <f>M276</f>
        <v>0</v>
      </c>
    </row>
    <row r="5" spans="1:13" x14ac:dyDescent="0.25">
      <c r="A5" s="11"/>
      <c r="B5" s="11"/>
      <c r="C5" s="11"/>
      <c r="D5" s="14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25">
      <c r="A6" s="12" t="s">
        <v>19</v>
      </c>
      <c r="B6" s="12" t="s">
        <v>17</v>
      </c>
      <c r="C6" s="12" t="s">
        <v>18</v>
      </c>
      <c r="D6" s="24" t="s">
        <v>20</v>
      </c>
      <c r="E6" s="13"/>
      <c r="F6" s="13"/>
      <c r="G6" s="13"/>
      <c r="H6" s="13"/>
      <c r="I6" s="13"/>
      <c r="J6" s="13"/>
      <c r="K6" s="10">
        <f>K14</f>
        <v>1</v>
      </c>
      <c r="L6" s="10">
        <f>L14</f>
        <v>0</v>
      </c>
      <c r="M6" s="10">
        <f>M14</f>
        <v>0</v>
      </c>
    </row>
    <row r="7" spans="1:13" ht="33.75" x14ac:dyDescent="0.25">
      <c r="A7" s="11"/>
      <c r="B7" s="11"/>
      <c r="C7" s="11"/>
      <c r="D7" s="14" t="s">
        <v>179</v>
      </c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5">
      <c r="A8" s="15" t="s">
        <v>21</v>
      </c>
      <c r="B8" s="15" t="s">
        <v>23</v>
      </c>
      <c r="C8" s="15" t="s">
        <v>18</v>
      </c>
      <c r="D8" s="25" t="s">
        <v>22</v>
      </c>
      <c r="E8" s="11"/>
      <c r="F8" s="11"/>
      <c r="G8" s="11"/>
      <c r="H8" s="11"/>
      <c r="I8" s="11"/>
      <c r="J8" s="11"/>
      <c r="K8" s="16">
        <f>K12</f>
        <v>15</v>
      </c>
      <c r="L8" s="16">
        <f>L12</f>
        <v>0</v>
      </c>
      <c r="M8" s="16">
        <f>M12</f>
        <v>0</v>
      </c>
    </row>
    <row r="9" spans="1:13" ht="22.5" x14ac:dyDescent="0.25">
      <c r="A9" s="11"/>
      <c r="B9" s="11"/>
      <c r="C9" s="11"/>
      <c r="D9" s="14" t="s">
        <v>180</v>
      </c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1"/>
      <c r="B10" s="11"/>
      <c r="C10" s="11"/>
      <c r="D10" s="14"/>
      <c r="E10" s="15" t="s">
        <v>24</v>
      </c>
      <c r="F10" s="11">
        <v>14</v>
      </c>
      <c r="G10" s="17">
        <v>0</v>
      </c>
      <c r="H10" s="17">
        <v>0</v>
      </c>
      <c r="I10" s="17">
        <v>0</v>
      </c>
      <c r="J10" s="16">
        <f>F10*(G10+ (G10= 0))*(H10+ (H10= 0))*(I10+ (I10= 0))</f>
        <v>14</v>
      </c>
      <c r="K10" s="11"/>
      <c r="L10" s="11"/>
      <c r="M10" s="11"/>
    </row>
    <row r="11" spans="1:13" x14ac:dyDescent="0.25">
      <c r="A11" s="11"/>
      <c r="B11" s="11"/>
      <c r="C11" s="11"/>
      <c r="D11" s="14"/>
      <c r="E11" s="15" t="s">
        <v>25</v>
      </c>
      <c r="F11" s="11">
        <v>1</v>
      </c>
      <c r="G11" s="17">
        <v>0</v>
      </c>
      <c r="H11" s="17">
        <v>0</v>
      </c>
      <c r="I11" s="17">
        <v>0</v>
      </c>
      <c r="J11" s="16">
        <f>F11*(G11+ (G11= 0))*(H11+ (H11= 0))*(I11+ (I11= 0))</f>
        <v>1</v>
      </c>
      <c r="K11" s="11"/>
      <c r="L11" s="11"/>
      <c r="M11" s="11"/>
    </row>
    <row r="12" spans="1:13" x14ac:dyDescent="0.25">
      <c r="A12" s="11"/>
      <c r="B12" s="11"/>
      <c r="C12" s="11"/>
      <c r="D12" s="14"/>
      <c r="E12" s="11"/>
      <c r="F12" s="11"/>
      <c r="G12" s="11"/>
      <c r="H12" s="11"/>
      <c r="I12" s="11"/>
      <c r="J12" s="18" t="s">
        <v>26</v>
      </c>
      <c r="K12" s="10">
        <f>SUM(J10:J11)</f>
        <v>15</v>
      </c>
      <c r="L12" s="17">
        <v>0</v>
      </c>
      <c r="M12" s="10">
        <f>ROUND(L12*K12,2)</f>
        <v>0</v>
      </c>
    </row>
    <row r="13" spans="1:13" x14ac:dyDescent="0.25">
      <c r="A13" s="19"/>
      <c r="B13" s="19"/>
      <c r="C13" s="19"/>
      <c r="D13" s="26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A14" s="11"/>
      <c r="B14" s="11"/>
      <c r="C14" s="11"/>
      <c r="D14" s="14"/>
      <c r="E14" s="11"/>
      <c r="F14" s="11"/>
      <c r="G14" s="11"/>
      <c r="H14" s="11"/>
      <c r="I14" s="11"/>
      <c r="J14" s="18" t="s">
        <v>27</v>
      </c>
      <c r="K14" s="17">
        <v>1</v>
      </c>
      <c r="L14" s="10">
        <f>M12</f>
        <v>0</v>
      </c>
      <c r="M14" s="10">
        <f>ROUND(L14*K14,2)</f>
        <v>0</v>
      </c>
    </row>
    <row r="15" spans="1:13" x14ac:dyDescent="0.25">
      <c r="A15" s="19"/>
      <c r="B15" s="19"/>
      <c r="C15" s="19"/>
      <c r="D15" s="26"/>
      <c r="E15" s="19"/>
      <c r="F15" s="19"/>
      <c r="G15" s="19"/>
      <c r="H15" s="19"/>
      <c r="I15" s="19"/>
      <c r="J15" s="19"/>
      <c r="K15" s="19"/>
      <c r="L15" s="19"/>
      <c r="M15" s="19"/>
    </row>
    <row r="16" spans="1:13" x14ac:dyDescent="0.25">
      <c r="A16" s="12" t="s">
        <v>28</v>
      </c>
      <c r="B16" s="12" t="s">
        <v>17</v>
      </c>
      <c r="C16" s="12" t="s">
        <v>18</v>
      </c>
      <c r="D16" s="24" t="s">
        <v>29</v>
      </c>
      <c r="E16" s="13"/>
      <c r="F16" s="13"/>
      <c r="G16" s="13"/>
      <c r="H16" s="13"/>
      <c r="I16" s="13"/>
      <c r="J16" s="13"/>
      <c r="K16" s="10">
        <f>K24</f>
        <v>1</v>
      </c>
      <c r="L16" s="10">
        <f>L24</f>
        <v>0</v>
      </c>
      <c r="M16" s="10">
        <f>M24</f>
        <v>0</v>
      </c>
    </row>
    <row r="17" spans="1:13" ht="22.5" x14ac:dyDescent="0.25">
      <c r="A17" s="11"/>
      <c r="B17" s="11"/>
      <c r="C17" s="11"/>
      <c r="D17" s="14" t="s">
        <v>181</v>
      </c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25">
      <c r="A18" s="15" t="s">
        <v>30</v>
      </c>
      <c r="B18" s="15" t="s">
        <v>23</v>
      </c>
      <c r="C18" s="15" t="s">
        <v>18</v>
      </c>
      <c r="D18" s="25" t="s">
        <v>22</v>
      </c>
      <c r="E18" s="11"/>
      <c r="F18" s="11"/>
      <c r="G18" s="11"/>
      <c r="H18" s="11"/>
      <c r="I18" s="11"/>
      <c r="J18" s="11"/>
      <c r="K18" s="16">
        <f>K22</f>
        <v>15</v>
      </c>
      <c r="L18" s="16">
        <f>L22</f>
        <v>0</v>
      </c>
      <c r="M18" s="16">
        <f>M22</f>
        <v>0</v>
      </c>
    </row>
    <row r="19" spans="1:13" x14ac:dyDescent="0.25">
      <c r="A19" s="11"/>
      <c r="B19" s="11"/>
      <c r="C19" s="11"/>
      <c r="D19" s="14" t="s">
        <v>182</v>
      </c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25">
      <c r="A20" s="11"/>
      <c r="B20" s="11"/>
      <c r="C20" s="11"/>
      <c r="D20" s="14"/>
      <c r="E20" s="15" t="s">
        <v>31</v>
      </c>
      <c r="F20" s="11">
        <v>14</v>
      </c>
      <c r="G20" s="17">
        <v>0</v>
      </c>
      <c r="H20" s="17">
        <v>0</v>
      </c>
      <c r="I20" s="17">
        <v>0</v>
      </c>
      <c r="J20" s="16">
        <f>F20*(G20+ (G20= 0))*(H20+ (H20= 0))*(I20+ (I20= 0))</f>
        <v>14</v>
      </c>
      <c r="K20" s="11"/>
      <c r="L20" s="11"/>
      <c r="M20" s="11"/>
    </row>
    <row r="21" spans="1:13" x14ac:dyDescent="0.25">
      <c r="A21" s="11"/>
      <c r="B21" s="11"/>
      <c r="C21" s="11"/>
      <c r="D21" s="14"/>
      <c r="E21" s="15" t="s">
        <v>32</v>
      </c>
      <c r="F21" s="11">
        <v>1</v>
      </c>
      <c r="G21" s="17">
        <v>0</v>
      </c>
      <c r="H21" s="17">
        <v>0</v>
      </c>
      <c r="I21" s="17">
        <v>0</v>
      </c>
      <c r="J21" s="16">
        <f>F21*(G21+ (G21= 0))*(H21+ (H21= 0))*(I21+ (I21= 0))</f>
        <v>1</v>
      </c>
      <c r="K21" s="11"/>
      <c r="L21" s="11"/>
      <c r="M21" s="11"/>
    </row>
    <row r="22" spans="1:13" x14ac:dyDescent="0.25">
      <c r="A22" s="11"/>
      <c r="B22" s="11"/>
      <c r="C22" s="11"/>
      <c r="D22" s="14"/>
      <c r="E22" s="11"/>
      <c r="F22" s="11"/>
      <c r="G22" s="11"/>
      <c r="H22" s="11"/>
      <c r="I22" s="11"/>
      <c r="J22" s="18" t="s">
        <v>33</v>
      </c>
      <c r="K22" s="10">
        <f>SUM(J20:J21)</f>
        <v>15</v>
      </c>
      <c r="L22" s="17">
        <v>0</v>
      </c>
      <c r="M22" s="10">
        <f>ROUND(L22*K22,2)</f>
        <v>0</v>
      </c>
    </row>
    <row r="23" spans="1:13" x14ac:dyDescent="0.25">
      <c r="A23" s="19"/>
      <c r="B23" s="19"/>
      <c r="C23" s="19"/>
      <c r="D23" s="26"/>
      <c r="E23" s="19"/>
      <c r="F23" s="19"/>
      <c r="G23" s="19"/>
      <c r="H23" s="19"/>
      <c r="I23" s="19"/>
      <c r="J23" s="19"/>
      <c r="K23" s="19"/>
      <c r="L23" s="19"/>
      <c r="M23" s="19"/>
    </row>
    <row r="24" spans="1:13" x14ac:dyDescent="0.25">
      <c r="A24" s="11"/>
      <c r="B24" s="11"/>
      <c r="C24" s="11"/>
      <c r="D24" s="14"/>
      <c r="E24" s="11"/>
      <c r="F24" s="11"/>
      <c r="G24" s="11"/>
      <c r="H24" s="11"/>
      <c r="I24" s="11"/>
      <c r="J24" s="18" t="s">
        <v>34</v>
      </c>
      <c r="K24" s="17">
        <v>1</v>
      </c>
      <c r="L24" s="10">
        <f>M22</f>
        <v>0</v>
      </c>
      <c r="M24" s="10">
        <f>ROUND(L24*K24,2)</f>
        <v>0</v>
      </c>
    </row>
    <row r="25" spans="1:13" x14ac:dyDescent="0.25">
      <c r="A25" s="19"/>
      <c r="B25" s="19"/>
      <c r="C25" s="19"/>
      <c r="D25" s="26"/>
      <c r="E25" s="19"/>
      <c r="F25" s="19"/>
      <c r="G25" s="19"/>
      <c r="H25" s="19"/>
      <c r="I25" s="19"/>
      <c r="J25" s="19"/>
      <c r="K25" s="19"/>
      <c r="L25" s="19"/>
      <c r="M25" s="19"/>
    </row>
    <row r="26" spans="1:13" x14ac:dyDescent="0.25">
      <c r="A26" s="12" t="s">
        <v>35</v>
      </c>
      <c r="B26" s="12" t="s">
        <v>17</v>
      </c>
      <c r="C26" s="12" t="s">
        <v>18</v>
      </c>
      <c r="D26" s="24" t="s">
        <v>36</v>
      </c>
      <c r="E26" s="13"/>
      <c r="F26" s="13"/>
      <c r="G26" s="13"/>
      <c r="H26" s="13"/>
      <c r="I26" s="13"/>
      <c r="J26" s="13"/>
      <c r="K26" s="20">
        <v>1</v>
      </c>
      <c r="L26" s="20">
        <v>0</v>
      </c>
      <c r="M26" s="20">
        <f>ROUND(K26*L26,2)</f>
        <v>0</v>
      </c>
    </row>
    <row r="27" spans="1:13" x14ac:dyDescent="0.25">
      <c r="A27" s="11"/>
      <c r="B27" s="11"/>
      <c r="C27" s="11"/>
      <c r="D27" s="14" t="s">
        <v>183</v>
      </c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25">
      <c r="A28" s="12" t="s">
        <v>37</v>
      </c>
      <c r="B28" s="12" t="s">
        <v>17</v>
      </c>
      <c r="C28" s="12" t="s">
        <v>18</v>
      </c>
      <c r="D28" s="24" t="s">
        <v>38</v>
      </c>
      <c r="E28" s="13"/>
      <c r="F28" s="13"/>
      <c r="G28" s="13"/>
      <c r="H28" s="13"/>
      <c r="I28" s="13"/>
      <c r="J28" s="13"/>
      <c r="K28" s="10">
        <f>K272</f>
        <v>1</v>
      </c>
      <c r="L28" s="10">
        <f>L272</f>
        <v>0</v>
      </c>
      <c r="M28" s="10">
        <f>M272</f>
        <v>0</v>
      </c>
    </row>
    <row r="29" spans="1:13" x14ac:dyDescent="0.25">
      <c r="A29" s="11"/>
      <c r="B29" s="11"/>
      <c r="C29" s="11"/>
      <c r="D29" s="14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25">
      <c r="A30" s="12" t="s">
        <v>39</v>
      </c>
      <c r="B30" s="12" t="s">
        <v>17</v>
      </c>
      <c r="C30" s="12" t="s">
        <v>18</v>
      </c>
      <c r="D30" s="24" t="s">
        <v>40</v>
      </c>
      <c r="E30" s="13"/>
      <c r="F30" s="13"/>
      <c r="G30" s="13"/>
      <c r="H30" s="13"/>
      <c r="I30" s="13"/>
      <c r="J30" s="13"/>
      <c r="K30" s="10">
        <f>K38</f>
        <v>1</v>
      </c>
      <c r="L30" s="10">
        <f>L38</f>
        <v>0</v>
      </c>
      <c r="M30" s="10">
        <f>M38</f>
        <v>0</v>
      </c>
    </row>
    <row r="31" spans="1:13" x14ac:dyDescent="0.25">
      <c r="A31" s="11"/>
      <c r="B31" s="11"/>
      <c r="C31" s="11"/>
      <c r="D31" s="14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25">
      <c r="A32" s="15" t="s">
        <v>41</v>
      </c>
      <c r="B32" s="15" t="s">
        <v>23</v>
      </c>
      <c r="C32" s="15" t="s">
        <v>18</v>
      </c>
      <c r="D32" s="25" t="s">
        <v>22</v>
      </c>
      <c r="E32" s="11"/>
      <c r="F32" s="11"/>
      <c r="G32" s="11"/>
      <c r="H32" s="11"/>
      <c r="I32" s="11"/>
      <c r="J32" s="11"/>
      <c r="K32" s="16">
        <f>K36</f>
        <v>15</v>
      </c>
      <c r="L32" s="16">
        <f>L36</f>
        <v>0</v>
      </c>
      <c r="M32" s="16">
        <f>M36</f>
        <v>0</v>
      </c>
    </row>
    <row r="33" spans="1:13" x14ac:dyDescent="0.25">
      <c r="A33" s="11"/>
      <c r="B33" s="11"/>
      <c r="C33" s="11"/>
      <c r="D33" s="14" t="s">
        <v>184</v>
      </c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25">
      <c r="A34" s="11"/>
      <c r="B34" s="11"/>
      <c r="C34" s="11"/>
      <c r="D34" s="14"/>
      <c r="E34" s="15" t="s">
        <v>24</v>
      </c>
      <c r="F34" s="11">
        <v>14</v>
      </c>
      <c r="G34" s="17">
        <v>0</v>
      </c>
      <c r="H34" s="17">
        <v>0</v>
      </c>
      <c r="I34" s="17">
        <v>0</v>
      </c>
      <c r="J34" s="16">
        <f>F34*(G34+ (G34= 0))*(H34+ (H34= 0))*(I34+ (I34= 0))</f>
        <v>14</v>
      </c>
      <c r="K34" s="11"/>
      <c r="L34" s="11"/>
      <c r="M34" s="11"/>
    </row>
    <row r="35" spans="1:13" x14ac:dyDescent="0.25">
      <c r="A35" s="11"/>
      <c r="B35" s="11"/>
      <c r="C35" s="11"/>
      <c r="D35" s="14"/>
      <c r="E35" s="15" t="s">
        <v>42</v>
      </c>
      <c r="F35" s="11">
        <v>1</v>
      </c>
      <c r="G35" s="17">
        <v>0</v>
      </c>
      <c r="H35" s="17">
        <v>0</v>
      </c>
      <c r="I35" s="17">
        <v>0</v>
      </c>
      <c r="J35" s="16">
        <f>F35*(G35+ (G35= 0))*(H35+ (H35= 0))*(I35+ (I35= 0))</f>
        <v>1</v>
      </c>
      <c r="K35" s="11"/>
      <c r="L35" s="11"/>
      <c r="M35" s="11"/>
    </row>
    <row r="36" spans="1:13" x14ac:dyDescent="0.25">
      <c r="A36" s="11"/>
      <c r="B36" s="11"/>
      <c r="C36" s="11"/>
      <c r="D36" s="14"/>
      <c r="E36" s="11"/>
      <c r="F36" s="11"/>
      <c r="G36" s="11"/>
      <c r="H36" s="11"/>
      <c r="I36" s="11"/>
      <c r="J36" s="18" t="s">
        <v>43</v>
      </c>
      <c r="K36" s="10">
        <f>SUM(J34:J35)</f>
        <v>15</v>
      </c>
      <c r="L36" s="17">
        <v>0</v>
      </c>
      <c r="M36" s="10">
        <f>ROUND(L36*K36,2)</f>
        <v>0</v>
      </c>
    </row>
    <row r="37" spans="1:13" x14ac:dyDescent="0.25">
      <c r="A37" s="19"/>
      <c r="B37" s="19"/>
      <c r="C37" s="19"/>
      <c r="D37" s="26"/>
      <c r="E37" s="19"/>
      <c r="F37" s="19"/>
      <c r="G37" s="19"/>
      <c r="H37" s="19"/>
      <c r="I37" s="19"/>
      <c r="J37" s="19"/>
      <c r="K37" s="19"/>
      <c r="L37" s="19"/>
      <c r="M37" s="19"/>
    </row>
    <row r="38" spans="1:13" x14ac:dyDescent="0.25">
      <c r="A38" s="11"/>
      <c r="B38" s="11"/>
      <c r="C38" s="11"/>
      <c r="D38" s="14"/>
      <c r="E38" s="11"/>
      <c r="F38" s="11"/>
      <c r="G38" s="11"/>
      <c r="H38" s="11"/>
      <c r="I38" s="11"/>
      <c r="J38" s="18" t="s">
        <v>44</v>
      </c>
      <c r="K38" s="17">
        <v>1</v>
      </c>
      <c r="L38" s="10">
        <f>M36</f>
        <v>0</v>
      </c>
      <c r="M38" s="10">
        <f>ROUND(L38*K38,2)</f>
        <v>0</v>
      </c>
    </row>
    <row r="39" spans="1:13" x14ac:dyDescent="0.25">
      <c r="A39" s="19"/>
      <c r="B39" s="19"/>
      <c r="C39" s="19"/>
      <c r="D39" s="26"/>
      <c r="E39" s="19"/>
      <c r="F39" s="19"/>
      <c r="G39" s="19"/>
      <c r="H39" s="19"/>
      <c r="I39" s="19"/>
      <c r="J39" s="19"/>
      <c r="K39" s="19"/>
      <c r="L39" s="19"/>
      <c r="M39" s="19"/>
    </row>
    <row r="40" spans="1:13" x14ac:dyDescent="0.25">
      <c r="A40" s="12" t="s">
        <v>45</v>
      </c>
      <c r="B40" s="12" t="s">
        <v>17</v>
      </c>
      <c r="C40" s="12" t="s">
        <v>18</v>
      </c>
      <c r="D40" s="24" t="s">
        <v>46</v>
      </c>
      <c r="E40" s="13"/>
      <c r="F40" s="13"/>
      <c r="G40" s="13"/>
      <c r="H40" s="13"/>
      <c r="I40" s="13"/>
      <c r="J40" s="13"/>
      <c r="K40" s="10">
        <f>K134</f>
        <v>1</v>
      </c>
      <c r="L40" s="10">
        <f>L134</f>
        <v>0</v>
      </c>
      <c r="M40" s="10">
        <f>M134</f>
        <v>0</v>
      </c>
    </row>
    <row r="41" spans="1:13" ht="22.5" x14ac:dyDescent="0.25">
      <c r="A41" s="11"/>
      <c r="B41" s="11"/>
      <c r="C41" s="11"/>
      <c r="D41" s="14" t="s">
        <v>47</v>
      </c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25">
      <c r="A42" s="15" t="s">
        <v>48</v>
      </c>
      <c r="B42" s="15" t="s">
        <v>23</v>
      </c>
      <c r="C42" s="15" t="s">
        <v>50</v>
      </c>
      <c r="D42" s="25" t="s">
        <v>49</v>
      </c>
      <c r="E42" s="11"/>
      <c r="F42" s="11"/>
      <c r="G42" s="11"/>
      <c r="H42" s="11"/>
      <c r="I42" s="11"/>
      <c r="J42" s="11"/>
      <c r="K42" s="16">
        <f>K61</f>
        <v>1999.8000000000002</v>
      </c>
      <c r="L42" s="16">
        <f>L61</f>
        <v>0</v>
      </c>
      <c r="M42" s="16">
        <f>M61</f>
        <v>0</v>
      </c>
    </row>
    <row r="43" spans="1:13" ht="22.5" x14ac:dyDescent="0.25">
      <c r="A43" s="11"/>
      <c r="B43" s="11"/>
      <c r="C43" s="11"/>
      <c r="D43" s="14" t="s">
        <v>185</v>
      </c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25">
      <c r="A44" s="11"/>
      <c r="B44" s="11"/>
      <c r="C44" s="11"/>
      <c r="D44" s="14"/>
      <c r="E44" s="15" t="s">
        <v>51</v>
      </c>
      <c r="F44" s="11">
        <v>0</v>
      </c>
      <c r="G44" s="17">
        <v>0</v>
      </c>
      <c r="H44" s="17">
        <v>0</v>
      </c>
      <c r="I44" s="17">
        <v>0</v>
      </c>
      <c r="J44" s="16">
        <f>F44*(G44+ (G44= 0))*(H44+ (H44= 0))*(I44+ (I44= 0))</f>
        <v>0</v>
      </c>
      <c r="K44" s="11"/>
      <c r="L44" s="11"/>
      <c r="M44" s="11"/>
    </row>
    <row r="45" spans="1:13" x14ac:dyDescent="0.25">
      <c r="A45" s="11"/>
      <c r="B45" s="11"/>
      <c r="C45" s="11"/>
      <c r="D45" s="14"/>
      <c r="E45" s="15" t="s">
        <v>52</v>
      </c>
      <c r="F45" s="11">
        <v>1.1000000000000001</v>
      </c>
      <c r="G45" s="17">
        <v>31</v>
      </c>
      <c r="H45" s="17">
        <v>0</v>
      </c>
      <c r="I45" s="17">
        <v>0</v>
      </c>
      <c r="J45" s="16">
        <f>F45*(G45+ (G45= 0))*(H45+ (H45= 0))*(I45+ (I45= 0))</f>
        <v>34.1</v>
      </c>
      <c r="K45" s="11"/>
      <c r="L45" s="11"/>
      <c r="M45" s="11"/>
    </row>
    <row r="46" spans="1:13" x14ac:dyDescent="0.25">
      <c r="A46" s="11"/>
      <c r="B46" s="11"/>
      <c r="C46" s="11"/>
      <c r="D46" s="14"/>
      <c r="E46" s="15" t="s">
        <v>53</v>
      </c>
      <c r="F46" s="11">
        <v>1.1000000000000001</v>
      </c>
      <c r="G46" s="17">
        <v>46</v>
      </c>
      <c r="H46" s="17">
        <v>0</v>
      </c>
      <c r="I46" s="17">
        <v>0</v>
      </c>
      <c r="J46" s="16">
        <f>F46*(G46+ (G46= 0))*(H46+ (H46= 0))*(I46+ (I46= 0))</f>
        <v>50.6</v>
      </c>
      <c r="K46" s="11"/>
      <c r="L46" s="11"/>
      <c r="M46" s="11"/>
    </row>
    <row r="47" spans="1:13" x14ac:dyDescent="0.25">
      <c r="A47" s="11"/>
      <c r="B47" s="11"/>
      <c r="C47" s="11"/>
      <c r="D47" s="14"/>
      <c r="E47" s="15" t="s">
        <v>54</v>
      </c>
      <c r="F47" s="11">
        <v>1.1000000000000001</v>
      </c>
      <c r="G47" s="17">
        <v>59</v>
      </c>
      <c r="H47" s="17">
        <v>0</v>
      </c>
      <c r="I47" s="17">
        <v>0</v>
      </c>
      <c r="J47" s="16">
        <f>F47*(G47+ (G47= 0))*(H47+ (H47= 0))*(I47+ (I47= 0))</f>
        <v>64.900000000000006</v>
      </c>
      <c r="K47" s="11"/>
      <c r="L47" s="11"/>
      <c r="M47" s="11"/>
    </row>
    <row r="48" spans="1:13" x14ac:dyDescent="0.25">
      <c r="A48" s="11"/>
      <c r="B48" s="11"/>
      <c r="C48" s="11"/>
      <c r="D48" s="14"/>
      <c r="E48" s="15" t="s">
        <v>55</v>
      </c>
      <c r="F48" s="11">
        <v>1.1000000000000001</v>
      </c>
      <c r="G48" s="17">
        <v>95</v>
      </c>
      <c r="H48" s="17">
        <v>0</v>
      </c>
      <c r="I48" s="17">
        <v>0</v>
      </c>
      <c r="J48" s="16">
        <f>F48*(G48+ (G48= 0))*(H48+ (H48= 0))*(I48+ (I48= 0))</f>
        <v>104.50000000000001</v>
      </c>
      <c r="K48" s="11"/>
      <c r="L48" s="11"/>
      <c r="M48" s="11"/>
    </row>
    <row r="49" spans="1:13" x14ac:dyDescent="0.25">
      <c r="A49" s="11"/>
      <c r="B49" s="11"/>
      <c r="C49" s="11"/>
      <c r="D49" s="14"/>
      <c r="E49" s="15" t="s">
        <v>56</v>
      </c>
      <c r="F49" s="11">
        <v>1.1000000000000001</v>
      </c>
      <c r="G49" s="17">
        <v>108</v>
      </c>
      <c r="H49" s="17">
        <v>0</v>
      </c>
      <c r="I49" s="17">
        <v>0</v>
      </c>
      <c r="J49" s="16">
        <f>F49*(G49+ (G49= 0))*(H49+ (H49= 0))*(I49+ (I49= 0))</f>
        <v>118.80000000000001</v>
      </c>
      <c r="K49" s="11"/>
      <c r="L49" s="11"/>
      <c r="M49" s="11"/>
    </row>
    <row r="50" spans="1:13" x14ac:dyDescent="0.25">
      <c r="A50" s="11"/>
      <c r="B50" s="11"/>
      <c r="C50" s="11"/>
      <c r="D50" s="14"/>
      <c r="E50" s="15" t="s">
        <v>57</v>
      </c>
      <c r="F50" s="11">
        <v>1.1000000000000001</v>
      </c>
      <c r="G50" s="17">
        <v>121</v>
      </c>
      <c r="H50" s="17">
        <v>0</v>
      </c>
      <c r="I50" s="17">
        <v>0</v>
      </c>
      <c r="J50" s="16">
        <f>F50*(G50+ (G50= 0))*(H50+ (H50= 0))*(I50+ (I50= 0))</f>
        <v>133.10000000000002</v>
      </c>
      <c r="K50" s="11"/>
      <c r="L50" s="11"/>
      <c r="M50" s="11"/>
    </row>
    <row r="51" spans="1:13" x14ac:dyDescent="0.25">
      <c r="A51" s="11"/>
      <c r="B51" s="11"/>
      <c r="C51" s="11"/>
      <c r="D51" s="14"/>
      <c r="E51" s="15" t="s">
        <v>58</v>
      </c>
      <c r="F51" s="11">
        <v>1.1000000000000001</v>
      </c>
      <c r="G51" s="17">
        <v>135</v>
      </c>
      <c r="H51" s="17">
        <v>0</v>
      </c>
      <c r="I51" s="17">
        <v>0</v>
      </c>
      <c r="J51" s="16">
        <f>F51*(G51+ (G51= 0))*(H51+ (H51= 0))*(I51+ (I51= 0))</f>
        <v>148.5</v>
      </c>
      <c r="K51" s="11"/>
      <c r="L51" s="11"/>
      <c r="M51" s="11"/>
    </row>
    <row r="52" spans="1:13" x14ac:dyDescent="0.25">
      <c r="A52" s="11"/>
      <c r="B52" s="11"/>
      <c r="C52" s="11"/>
      <c r="D52" s="14"/>
      <c r="E52" s="15" t="s">
        <v>59</v>
      </c>
      <c r="F52" s="11">
        <v>1.1000000000000001</v>
      </c>
      <c r="G52" s="17">
        <v>141</v>
      </c>
      <c r="H52" s="17">
        <v>0</v>
      </c>
      <c r="I52" s="17">
        <v>0</v>
      </c>
      <c r="J52" s="16">
        <f>F52*(G52+ (G52= 0))*(H52+ (H52= 0))*(I52+ (I52= 0))</f>
        <v>155.10000000000002</v>
      </c>
      <c r="K52" s="11"/>
      <c r="L52" s="11"/>
      <c r="M52" s="11"/>
    </row>
    <row r="53" spans="1:13" x14ac:dyDescent="0.25">
      <c r="A53" s="11"/>
      <c r="B53" s="11"/>
      <c r="C53" s="11"/>
      <c r="D53" s="14"/>
      <c r="E53" s="15" t="s">
        <v>60</v>
      </c>
      <c r="F53" s="11">
        <v>1.1000000000000001</v>
      </c>
      <c r="G53" s="17">
        <v>149</v>
      </c>
      <c r="H53" s="17">
        <v>0</v>
      </c>
      <c r="I53" s="17">
        <v>0</v>
      </c>
      <c r="J53" s="16">
        <f>F53*(G53+ (G53= 0))*(H53+ (H53= 0))*(I53+ (I53= 0))</f>
        <v>163.9</v>
      </c>
      <c r="K53" s="11"/>
      <c r="L53" s="11"/>
      <c r="M53" s="11"/>
    </row>
    <row r="54" spans="1:13" x14ac:dyDescent="0.25">
      <c r="A54" s="11"/>
      <c r="B54" s="11"/>
      <c r="C54" s="11"/>
      <c r="D54" s="14"/>
      <c r="E54" s="15" t="s">
        <v>61</v>
      </c>
      <c r="F54" s="11">
        <v>1.1000000000000001</v>
      </c>
      <c r="G54" s="17">
        <v>128</v>
      </c>
      <c r="H54" s="17">
        <v>0</v>
      </c>
      <c r="I54" s="17">
        <v>0</v>
      </c>
      <c r="J54" s="16">
        <f>F54*(G54+ (G54= 0))*(H54+ (H54= 0))*(I54+ (I54= 0))</f>
        <v>140.80000000000001</v>
      </c>
      <c r="K54" s="11"/>
      <c r="L54" s="11"/>
      <c r="M54" s="11"/>
    </row>
    <row r="55" spans="1:13" x14ac:dyDescent="0.25">
      <c r="A55" s="11"/>
      <c r="B55" s="11"/>
      <c r="C55" s="11"/>
      <c r="D55" s="14"/>
      <c r="E55" s="15" t="s">
        <v>62</v>
      </c>
      <c r="F55" s="11">
        <v>1.1000000000000001</v>
      </c>
      <c r="G55" s="17">
        <v>141</v>
      </c>
      <c r="H55" s="17">
        <v>0</v>
      </c>
      <c r="I55" s="17">
        <v>0</v>
      </c>
      <c r="J55" s="16">
        <f>F55*(G55+ (G55= 0))*(H55+ (H55= 0))*(I55+ (I55= 0))</f>
        <v>155.10000000000002</v>
      </c>
      <c r="K55" s="11"/>
      <c r="L55" s="11"/>
      <c r="M55" s="11"/>
    </row>
    <row r="56" spans="1:13" x14ac:dyDescent="0.25">
      <c r="A56" s="11"/>
      <c r="B56" s="11"/>
      <c r="C56" s="11"/>
      <c r="D56" s="14"/>
      <c r="E56" s="15" t="s">
        <v>63</v>
      </c>
      <c r="F56" s="11">
        <v>1.1000000000000001</v>
      </c>
      <c r="G56" s="17">
        <v>150</v>
      </c>
      <c r="H56" s="17">
        <v>0</v>
      </c>
      <c r="I56" s="17">
        <v>0</v>
      </c>
      <c r="J56" s="16">
        <f>F56*(G56+ (G56= 0))*(H56+ (H56= 0))*(I56+ (I56= 0))</f>
        <v>165</v>
      </c>
      <c r="K56" s="11"/>
      <c r="L56" s="11"/>
      <c r="M56" s="11"/>
    </row>
    <row r="57" spans="1:13" x14ac:dyDescent="0.25">
      <c r="A57" s="11"/>
      <c r="B57" s="11"/>
      <c r="C57" s="11"/>
      <c r="D57" s="14"/>
      <c r="E57" s="15" t="s">
        <v>64</v>
      </c>
      <c r="F57" s="11">
        <v>1.1000000000000001</v>
      </c>
      <c r="G57" s="17">
        <v>94</v>
      </c>
      <c r="H57" s="17">
        <v>0</v>
      </c>
      <c r="I57" s="17">
        <v>0</v>
      </c>
      <c r="J57" s="16">
        <f>F57*(G57+ (G57= 0))*(H57+ (H57= 0))*(I57+ (I57= 0))</f>
        <v>103.4</v>
      </c>
      <c r="K57" s="11"/>
      <c r="L57" s="11"/>
      <c r="M57" s="11"/>
    </row>
    <row r="58" spans="1:13" x14ac:dyDescent="0.25">
      <c r="A58" s="11"/>
      <c r="B58" s="11"/>
      <c r="C58" s="11"/>
      <c r="D58" s="14"/>
      <c r="E58" s="15" t="s">
        <v>65</v>
      </c>
      <c r="F58" s="11">
        <v>1.1000000000000001</v>
      </c>
      <c r="G58" s="17">
        <v>110</v>
      </c>
      <c r="H58" s="17">
        <v>0</v>
      </c>
      <c r="I58" s="17">
        <v>0</v>
      </c>
      <c r="J58" s="16">
        <f>F58*(G58+ (G58= 0))*(H58+ (H58= 0))*(I58+ (I58= 0))</f>
        <v>121.00000000000001</v>
      </c>
      <c r="K58" s="11"/>
      <c r="L58" s="11"/>
      <c r="M58" s="11"/>
    </row>
    <row r="59" spans="1:13" x14ac:dyDescent="0.25">
      <c r="A59" s="11"/>
      <c r="B59" s="11"/>
      <c r="C59" s="11"/>
      <c r="D59" s="14"/>
      <c r="E59" s="15" t="s">
        <v>66</v>
      </c>
      <c r="F59" s="11">
        <v>1.1000000000000001</v>
      </c>
      <c r="G59" s="17">
        <v>150</v>
      </c>
      <c r="H59" s="17">
        <v>0</v>
      </c>
      <c r="I59" s="17">
        <v>0</v>
      </c>
      <c r="J59" s="16">
        <f>F59*(G59+ (G59= 0))*(H59+ (H59= 0))*(I59+ (I59= 0))</f>
        <v>165</v>
      </c>
      <c r="K59" s="11"/>
      <c r="L59" s="11"/>
      <c r="M59" s="11"/>
    </row>
    <row r="60" spans="1:13" x14ac:dyDescent="0.25">
      <c r="A60" s="11"/>
      <c r="B60" s="11"/>
      <c r="C60" s="11"/>
      <c r="D60" s="14"/>
      <c r="E60" s="15" t="s">
        <v>67</v>
      </c>
      <c r="F60" s="11">
        <v>1.1000000000000001</v>
      </c>
      <c r="G60" s="17">
        <v>160</v>
      </c>
      <c r="H60" s="17">
        <v>0</v>
      </c>
      <c r="I60" s="17">
        <v>0</v>
      </c>
      <c r="J60" s="16">
        <f>F60*(G60+ (G60= 0))*(H60+ (H60= 0))*(I60+ (I60= 0))</f>
        <v>176</v>
      </c>
      <c r="K60" s="11"/>
      <c r="L60" s="11"/>
      <c r="M60" s="11"/>
    </row>
    <row r="61" spans="1:13" x14ac:dyDescent="0.25">
      <c r="A61" s="11"/>
      <c r="B61" s="11"/>
      <c r="C61" s="11"/>
      <c r="D61" s="14"/>
      <c r="E61" s="11"/>
      <c r="F61" s="11"/>
      <c r="G61" s="11"/>
      <c r="H61" s="11"/>
      <c r="I61" s="11"/>
      <c r="J61" s="18" t="s">
        <v>68</v>
      </c>
      <c r="K61" s="10">
        <f>SUM(J44:J60)</f>
        <v>1999.8000000000002</v>
      </c>
      <c r="L61" s="17">
        <v>0</v>
      </c>
      <c r="M61" s="10">
        <f>ROUND(L61*K61,2)</f>
        <v>0</v>
      </c>
    </row>
    <row r="62" spans="1:13" x14ac:dyDescent="0.25">
      <c r="A62" s="19"/>
      <c r="B62" s="19"/>
      <c r="C62" s="19"/>
      <c r="D62" s="26"/>
      <c r="E62" s="19"/>
      <c r="F62" s="19"/>
      <c r="G62" s="19"/>
      <c r="H62" s="19"/>
      <c r="I62" s="19"/>
      <c r="J62" s="19"/>
      <c r="K62" s="19"/>
      <c r="L62" s="19"/>
      <c r="M62" s="19"/>
    </row>
    <row r="63" spans="1:13" x14ac:dyDescent="0.25">
      <c r="A63" s="15" t="s">
        <v>69</v>
      </c>
      <c r="B63" s="15" t="s">
        <v>23</v>
      </c>
      <c r="C63" s="15" t="s">
        <v>71</v>
      </c>
      <c r="D63" s="25" t="s">
        <v>70</v>
      </c>
      <c r="E63" s="11"/>
      <c r="F63" s="11"/>
      <c r="G63" s="11"/>
      <c r="H63" s="11"/>
      <c r="I63" s="11"/>
      <c r="J63" s="11"/>
      <c r="K63" s="16">
        <f>K82</f>
        <v>105.59999999999997</v>
      </c>
      <c r="L63" s="16">
        <f>L82</f>
        <v>0</v>
      </c>
      <c r="M63" s="16">
        <f>M82</f>
        <v>0</v>
      </c>
    </row>
    <row r="64" spans="1:13" ht="33.75" x14ac:dyDescent="0.25">
      <c r="A64" s="11"/>
      <c r="B64" s="11"/>
      <c r="C64" s="11"/>
      <c r="D64" s="14" t="s">
        <v>186</v>
      </c>
      <c r="E64" s="11"/>
      <c r="F64" s="11"/>
      <c r="G64" s="11"/>
      <c r="H64" s="11"/>
      <c r="I64" s="11"/>
      <c r="J64" s="11"/>
      <c r="K64" s="11"/>
      <c r="L64" s="11"/>
      <c r="M64" s="11"/>
    </row>
    <row r="65" spans="1:13" x14ac:dyDescent="0.25">
      <c r="A65" s="11"/>
      <c r="B65" s="11"/>
      <c r="C65" s="11"/>
      <c r="D65" s="14"/>
      <c r="E65" s="15" t="s">
        <v>72</v>
      </c>
      <c r="F65" s="11">
        <v>0</v>
      </c>
      <c r="G65" s="17">
        <v>0</v>
      </c>
      <c r="H65" s="17">
        <v>0</v>
      </c>
      <c r="I65" s="17">
        <v>0</v>
      </c>
      <c r="J65" s="16">
        <f>F65*(G65+ (G65= 0))*(H65+ (H65= 0))*(I65+ (I65= 0))</f>
        <v>0</v>
      </c>
      <c r="K65" s="11"/>
      <c r="L65" s="11"/>
      <c r="M65" s="11"/>
    </row>
    <row r="66" spans="1:13" x14ac:dyDescent="0.25">
      <c r="A66" s="11"/>
      <c r="B66" s="11"/>
      <c r="C66" s="11"/>
      <c r="D66" s="14"/>
      <c r="E66" s="15" t="s">
        <v>52</v>
      </c>
      <c r="F66" s="11">
        <v>1.1000000000000001</v>
      </c>
      <c r="G66" s="17">
        <v>6</v>
      </c>
      <c r="H66" s="17">
        <v>0</v>
      </c>
      <c r="I66" s="17">
        <v>0</v>
      </c>
      <c r="J66" s="16">
        <f>F66*(G66+ (G66= 0))*(H66+ (H66= 0))*(I66+ (I66= 0))</f>
        <v>6.6000000000000005</v>
      </c>
      <c r="K66" s="11"/>
      <c r="L66" s="11"/>
      <c r="M66" s="11"/>
    </row>
    <row r="67" spans="1:13" x14ac:dyDescent="0.25">
      <c r="A67" s="11"/>
      <c r="B67" s="11"/>
      <c r="C67" s="11"/>
      <c r="D67" s="14"/>
      <c r="E67" s="15" t="s">
        <v>53</v>
      </c>
      <c r="F67" s="11">
        <v>1.1000000000000001</v>
      </c>
      <c r="G67" s="17">
        <v>6</v>
      </c>
      <c r="H67" s="17">
        <v>0</v>
      </c>
      <c r="I67" s="17">
        <v>0</v>
      </c>
      <c r="J67" s="16">
        <f>F67*(G67+ (G67= 0))*(H67+ (H67= 0))*(I67+ (I67= 0))</f>
        <v>6.6000000000000005</v>
      </c>
      <c r="K67" s="11"/>
      <c r="L67" s="11"/>
      <c r="M67" s="11"/>
    </row>
    <row r="68" spans="1:13" x14ac:dyDescent="0.25">
      <c r="A68" s="11"/>
      <c r="B68" s="11"/>
      <c r="C68" s="11"/>
      <c r="D68" s="14"/>
      <c r="E68" s="15" t="s">
        <v>54</v>
      </c>
      <c r="F68" s="11">
        <v>1.1000000000000001</v>
      </c>
      <c r="G68" s="17">
        <v>6</v>
      </c>
      <c r="H68" s="17">
        <v>0</v>
      </c>
      <c r="I68" s="17">
        <v>0</v>
      </c>
      <c r="J68" s="16">
        <f>F68*(G68+ (G68= 0))*(H68+ (H68= 0))*(I68+ (I68= 0))</f>
        <v>6.6000000000000005</v>
      </c>
      <c r="K68" s="11"/>
      <c r="L68" s="11"/>
      <c r="M68" s="11"/>
    </row>
    <row r="69" spans="1:13" x14ac:dyDescent="0.25">
      <c r="A69" s="11"/>
      <c r="B69" s="11"/>
      <c r="C69" s="11"/>
      <c r="D69" s="14"/>
      <c r="E69" s="15" t="s">
        <v>55</v>
      </c>
      <c r="F69" s="11">
        <v>1.1000000000000001</v>
      </c>
      <c r="G69" s="17">
        <v>6</v>
      </c>
      <c r="H69" s="17">
        <v>0</v>
      </c>
      <c r="I69" s="17">
        <v>0</v>
      </c>
      <c r="J69" s="16">
        <f>F69*(G69+ (G69= 0))*(H69+ (H69= 0))*(I69+ (I69= 0))</f>
        <v>6.6000000000000005</v>
      </c>
      <c r="K69" s="11"/>
      <c r="L69" s="11"/>
      <c r="M69" s="11"/>
    </row>
    <row r="70" spans="1:13" x14ac:dyDescent="0.25">
      <c r="A70" s="11"/>
      <c r="B70" s="11"/>
      <c r="C70" s="11"/>
      <c r="D70" s="14"/>
      <c r="E70" s="15" t="s">
        <v>56</v>
      </c>
      <c r="F70" s="11">
        <v>1.1000000000000001</v>
      </c>
      <c r="G70" s="17">
        <v>6</v>
      </c>
      <c r="H70" s="17">
        <v>0</v>
      </c>
      <c r="I70" s="17">
        <v>0</v>
      </c>
      <c r="J70" s="16">
        <f>F70*(G70+ (G70= 0))*(H70+ (H70= 0))*(I70+ (I70= 0))</f>
        <v>6.6000000000000005</v>
      </c>
      <c r="K70" s="11"/>
      <c r="L70" s="11"/>
      <c r="M70" s="11"/>
    </row>
    <row r="71" spans="1:13" x14ac:dyDescent="0.25">
      <c r="A71" s="11"/>
      <c r="B71" s="11"/>
      <c r="C71" s="11"/>
      <c r="D71" s="14"/>
      <c r="E71" s="15" t="s">
        <v>57</v>
      </c>
      <c r="F71" s="11">
        <v>1.1000000000000001</v>
      </c>
      <c r="G71" s="17">
        <v>6</v>
      </c>
      <c r="H71" s="17">
        <v>0</v>
      </c>
      <c r="I71" s="17">
        <v>0</v>
      </c>
      <c r="J71" s="16">
        <f>F71*(G71+ (G71= 0))*(H71+ (H71= 0))*(I71+ (I71= 0))</f>
        <v>6.6000000000000005</v>
      </c>
      <c r="K71" s="11"/>
      <c r="L71" s="11"/>
      <c r="M71" s="11"/>
    </row>
    <row r="72" spans="1:13" x14ac:dyDescent="0.25">
      <c r="A72" s="11"/>
      <c r="B72" s="11"/>
      <c r="C72" s="11"/>
      <c r="D72" s="14"/>
      <c r="E72" s="15" t="s">
        <v>58</v>
      </c>
      <c r="F72" s="11">
        <v>1.1000000000000001</v>
      </c>
      <c r="G72" s="17">
        <v>6</v>
      </c>
      <c r="H72" s="17">
        <v>0</v>
      </c>
      <c r="I72" s="17">
        <v>0</v>
      </c>
      <c r="J72" s="16">
        <f>F72*(G72+ (G72= 0))*(H72+ (H72= 0))*(I72+ (I72= 0))</f>
        <v>6.6000000000000005</v>
      </c>
      <c r="K72" s="11"/>
      <c r="L72" s="11"/>
      <c r="M72" s="11"/>
    </row>
    <row r="73" spans="1:13" x14ac:dyDescent="0.25">
      <c r="A73" s="11"/>
      <c r="B73" s="11"/>
      <c r="C73" s="11"/>
      <c r="D73" s="14"/>
      <c r="E73" s="15" t="s">
        <v>59</v>
      </c>
      <c r="F73" s="11">
        <v>1.1000000000000001</v>
      </c>
      <c r="G73" s="17">
        <v>6</v>
      </c>
      <c r="H73" s="17">
        <v>0</v>
      </c>
      <c r="I73" s="17">
        <v>0</v>
      </c>
      <c r="J73" s="16">
        <f>F73*(G73+ (G73= 0))*(H73+ (H73= 0))*(I73+ (I73= 0))</f>
        <v>6.6000000000000005</v>
      </c>
      <c r="K73" s="11"/>
      <c r="L73" s="11"/>
      <c r="M73" s="11"/>
    </row>
    <row r="74" spans="1:13" x14ac:dyDescent="0.25">
      <c r="A74" s="11"/>
      <c r="B74" s="11"/>
      <c r="C74" s="11"/>
      <c r="D74" s="14"/>
      <c r="E74" s="15" t="s">
        <v>60</v>
      </c>
      <c r="F74" s="11">
        <v>1.1000000000000001</v>
      </c>
      <c r="G74" s="17">
        <v>6</v>
      </c>
      <c r="H74" s="17">
        <v>0</v>
      </c>
      <c r="I74" s="17">
        <v>0</v>
      </c>
      <c r="J74" s="16">
        <f>F74*(G74+ (G74= 0))*(H74+ (H74= 0))*(I74+ (I74= 0))</f>
        <v>6.6000000000000005</v>
      </c>
      <c r="K74" s="11"/>
      <c r="L74" s="11"/>
      <c r="M74" s="11"/>
    </row>
    <row r="75" spans="1:13" x14ac:dyDescent="0.25">
      <c r="A75" s="11"/>
      <c r="B75" s="11"/>
      <c r="C75" s="11"/>
      <c r="D75" s="14"/>
      <c r="E75" s="15" t="s">
        <v>61</v>
      </c>
      <c r="F75" s="11">
        <v>1.1000000000000001</v>
      </c>
      <c r="G75" s="17">
        <v>6</v>
      </c>
      <c r="H75" s="17">
        <v>0</v>
      </c>
      <c r="I75" s="17">
        <v>0</v>
      </c>
      <c r="J75" s="16">
        <f>F75*(G75+ (G75= 0))*(H75+ (H75= 0))*(I75+ (I75= 0))</f>
        <v>6.6000000000000005</v>
      </c>
      <c r="K75" s="11"/>
      <c r="L75" s="11"/>
      <c r="M75" s="11"/>
    </row>
    <row r="76" spans="1:13" x14ac:dyDescent="0.25">
      <c r="A76" s="11"/>
      <c r="B76" s="11"/>
      <c r="C76" s="11"/>
      <c r="D76" s="14"/>
      <c r="E76" s="15" t="s">
        <v>62</v>
      </c>
      <c r="F76" s="11">
        <v>1.1000000000000001</v>
      </c>
      <c r="G76" s="17">
        <v>6</v>
      </c>
      <c r="H76" s="17">
        <v>0</v>
      </c>
      <c r="I76" s="17">
        <v>0</v>
      </c>
      <c r="J76" s="16">
        <f>F76*(G76+ (G76= 0))*(H76+ (H76= 0))*(I76+ (I76= 0))</f>
        <v>6.6000000000000005</v>
      </c>
      <c r="K76" s="11"/>
      <c r="L76" s="11"/>
      <c r="M76" s="11"/>
    </row>
    <row r="77" spans="1:13" x14ac:dyDescent="0.25">
      <c r="A77" s="11"/>
      <c r="B77" s="11"/>
      <c r="C77" s="11"/>
      <c r="D77" s="14"/>
      <c r="E77" s="15" t="s">
        <v>63</v>
      </c>
      <c r="F77" s="11">
        <v>1.1000000000000001</v>
      </c>
      <c r="G77" s="17">
        <v>6</v>
      </c>
      <c r="H77" s="17">
        <v>0</v>
      </c>
      <c r="I77" s="17">
        <v>0</v>
      </c>
      <c r="J77" s="16">
        <f>F77*(G77+ (G77= 0))*(H77+ (H77= 0))*(I77+ (I77= 0))</f>
        <v>6.6000000000000005</v>
      </c>
      <c r="K77" s="11"/>
      <c r="L77" s="11"/>
      <c r="M77" s="11"/>
    </row>
    <row r="78" spans="1:13" x14ac:dyDescent="0.25">
      <c r="A78" s="11"/>
      <c r="B78" s="11"/>
      <c r="C78" s="11"/>
      <c r="D78" s="14"/>
      <c r="E78" s="15" t="s">
        <v>64</v>
      </c>
      <c r="F78" s="11">
        <v>1.1000000000000001</v>
      </c>
      <c r="G78" s="17">
        <v>6</v>
      </c>
      <c r="H78" s="17">
        <v>0</v>
      </c>
      <c r="I78" s="17">
        <v>0</v>
      </c>
      <c r="J78" s="16">
        <f>F78*(G78+ (G78= 0))*(H78+ (H78= 0))*(I78+ (I78= 0))</f>
        <v>6.6000000000000005</v>
      </c>
      <c r="K78" s="11"/>
      <c r="L78" s="11"/>
      <c r="M78" s="11"/>
    </row>
    <row r="79" spans="1:13" x14ac:dyDescent="0.25">
      <c r="A79" s="11"/>
      <c r="B79" s="11"/>
      <c r="C79" s="11"/>
      <c r="D79" s="14"/>
      <c r="E79" s="15" t="s">
        <v>65</v>
      </c>
      <c r="F79" s="11">
        <v>1.1000000000000001</v>
      </c>
      <c r="G79" s="17">
        <v>6</v>
      </c>
      <c r="H79" s="17">
        <v>0</v>
      </c>
      <c r="I79" s="17">
        <v>0</v>
      </c>
      <c r="J79" s="16">
        <f>F79*(G79+ (G79= 0))*(H79+ (H79= 0))*(I79+ (I79= 0))</f>
        <v>6.6000000000000005</v>
      </c>
      <c r="K79" s="11"/>
      <c r="L79" s="11"/>
      <c r="M79" s="11"/>
    </row>
    <row r="80" spans="1:13" x14ac:dyDescent="0.25">
      <c r="A80" s="11"/>
      <c r="B80" s="11"/>
      <c r="C80" s="11"/>
      <c r="D80" s="14"/>
      <c r="E80" s="15" t="s">
        <v>66</v>
      </c>
      <c r="F80" s="11">
        <v>1.1000000000000001</v>
      </c>
      <c r="G80" s="17">
        <v>6</v>
      </c>
      <c r="H80" s="17">
        <v>0</v>
      </c>
      <c r="I80" s="17">
        <v>0</v>
      </c>
      <c r="J80" s="16">
        <f>F80*(G80+ (G80= 0))*(H80+ (H80= 0))*(I80+ (I80= 0))</f>
        <v>6.6000000000000005</v>
      </c>
      <c r="K80" s="11"/>
      <c r="L80" s="11"/>
      <c r="M80" s="11"/>
    </row>
    <row r="81" spans="1:13" x14ac:dyDescent="0.25">
      <c r="A81" s="11"/>
      <c r="B81" s="11"/>
      <c r="C81" s="11"/>
      <c r="D81" s="14"/>
      <c r="E81" s="15" t="s">
        <v>67</v>
      </c>
      <c r="F81" s="11">
        <v>1.1000000000000001</v>
      </c>
      <c r="G81" s="17">
        <v>6</v>
      </c>
      <c r="H81" s="17">
        <v>0</v>
      </c>
      <c r="I81" s="17">
        <v>0</v>
      </c>
      <c r="J81" s="16">
        <f>F81*(G81+ (G81= 0))*(H81+ (H81= 0))*(I81+ (I81= 0))</f>
        <v>6.6000000000000005</v>
      </c>
      <c r="K81" s="11"/>
      <c r="L81" s="11"/>
      <c r="M81" s="11"/>
    </row>
    <row r="82" spans="1:13" x14ac:dyDescent="0.25">
      <c r="A82" s="11"/>
      <c r="B82" s="11"/>
      <c r="C82" s="11"/>
      <c r="D82" s="14"/>
      <c r="E82" s="11"/>
      <c r="F82" s="11"/>
      <c r="G82" s="11"/>
      <c r="H82" s="11"/>
      <c r="I82" s="11"/>
      <c r="J82" s="18" t="s">
        <v>73</v>
      </c>
      <c r="K82" s="10">
        <f>SUM(J65:J81)</f>
        <v>105.59999999999997</v>
      </c>
      <c r="L82" s="17">
        <v>0</v>
      </c>
      <c r="M82" s="10">
        <f>ROUND(L82*K82,2)</f>
        <v>0</v>
      </c>
    </row>
    <row r="83" spans="1:13" x14ac:dyDescent="0.25">
      <c r="A83" s="19"/>
      <c r="B83" s="19"/>
      <c r="C83" s="19"/>
      <c r="D83" s="26"/>
      <c r="E83" s="19"/>
      <c r="F83" s="19"/>
      <c r="G83" s="19"/>
      <c r="H83" s="19"/>
      <c r="I83" s="19"/>
      <c r="J83" s="19"/>
      <c r="K83" s="19"/>
      <c r="L83" s="19"/>
      <c r="M83" s="19"/>
    </row>
    <row r="84" spans="1:13" x14ac:dyDescent="0.25">
      <c r="A84" s="15" t="s">
        <v>74</v>
      </c>
      <c r="B84" s="15" t="s">
        <v>23</v>
      </c>
      <c r="C84" s="15" t="s">
        <v>71</v>
      </c>
      <c r="D84" s="25" t="s">
        <v>75</v>
      </c>
      <c r="E84" s="11"/>
      <c r="F84" s="11"/>
      <c r="G84" s="11"/>
      <c r="H84" s="11"/>
      <c r="I84" s="11"/>
      <c r="J84" s="11"/>
      <c r="K84" s="16">
        <f>K111</f>
        <v>1036.1999999999996</v>
      </c>
      <c r="L84" s="16">
        <f>L111</f>
        <v>0</v>
      </c>
      <c r="M84" s="16">
        <f>M111</f>
        <v>0</v>
      </c>
    </row>
    <row r="85" spans="1:13" ht="22.5" x14ac:dyDescent="0.25">
      <c r="A85" s="11"/>
      <c r="B85" s="11"/>
      <c r="C85" s="11"/>
      <c r="D85" s="14" t="s">
        <v>187</v>
      </c>
      <c r="E85" s="11"/>
      <c r="F85" s="11"/>
      <c r="G85" s="11"/>
      <c r="H85" s="11"/>
      <c r="I85" s="11"/>
      <c r="J85" s="11"/>
      <c r="K85" s="11"/>
      <c r="L85" s="11"/>
      <c r="M85" s="11"/>
    </row>
    <row r="86" spans="1:13" x14ac:dyDescent="0.25">
      <c r="A86" s="11"/>
      <c r="B86" s="11"/>
      <c r="C86" s="11"/>
      <c r="D86" s="14"/>
      <c r="E86" s="15" t="s">
        <v>76</v>
      </c>
      <c r="F86" s="11">
        <v>0</v>
      </c>
      <c r="G86" s="17">
        <v>0</v>
      </c>
      <c r="H86" s="17">
        <v>0</v>
      </c>
      <c r="I86" s="17">
        <v>0</v>
      </c>
      <c r="J86" s="16">
        <f>F86*(G86+ (G86= 0))*(H86+ (H86= 0))*(I86+ (I86= 0))</f>
        <v>0</v>
      </c>
      <c r="K86" s="11"/>
      <c r="L86" s="11"/>
      <c r="M86" s="11"/>
    </row>
    <row r="87" spans="1:13" x14ac:dyDescent="0.25">
      <c r="A87" s="11"/>
      <c r="B87" s="11"/>
      <c r="C87" s="11"/>
      <c r="D87" s="14"/>
      <c r="E87" s="15" t="s">
        <v>77</v>
      </c>
      <c r="F87" s="11">
        <v>1.1000000000000001</v>
      </c>
      <c r="G87" s="17">
        <v>42</v>
      </c>
      <c r="H87" s="17">
        <v>0</v>
      </c>
      <c r="I87" s="17">
        <v>0</v>
      </c>
      <c r="J87" s="16">
        <f>F87*(G87+ (G87= 0))*(H87+ (H87= 0))*(I87+ (I87= 0))</f>
        <v>46.2</v>
      </c>
      <c r="K87" s="11"/>
      <c r="L87" s="11"/>
      <c r="M87" s="11"/>
    </row>
    <row r="88" spans="1:13" x14ac:dyDescent="0.25">
      <c r="A88" s="11"/>
      <c r="B88" s="11"/>
      <c r="C88" s="11"/>
      <c r="D88" s="14"/>
      <c r="E88" s="15" t="s">
        <v>78</v>
      </c>
      <c r="F88" s="11">
        <v>1.1000000000000001</v>
      </c>
      <c r="G88" s="17">
        <v>116</v>
      </c>
      <c r="H88" s="17">
        <v>0</v>
      </c>
      <c r="I88" s="17">
        <v>0</v>
      </c>
      <c r="J88" s="16">
        <f>F88*(G88+ (G88= 0))*(H88+ (H88= 0))*(I88+ (I88= 0))</f>
        <v>127.60000000000001</v>
      </c>
      <c r="K88" s="11"/>
      <c r="L88" s="11"/>
      <c r="M88" s="11"/>
    </row>
    <row r="89" spans="1:13" x14ac:dyDescent="0.25">
      <c r="A89" s="11"/>
      <c r="B89" s="11"/>
      <c r="C89" s="11"/>
      <c r="D89" s="14"/>
      <c r="E89" s="15" t="s">
        <v>79</v>
      </c>
      <c r="F89" s="11">
        <v>1.1000000000000001</v>
      </c>
      <c r="G89" s="17">
        <v>144</v>
      </c>
      <c r="H89" s="17">
        <v>0</v>
      </c>
      <c r="I89" s="17">
        <v>0</v>
      </c>
      <c r="J89" s="16">
        <f>F89*(G89+ (G89= 0))*(H89+ (H89= 0))*(I89+ (I89= 0))</f>
        <v>158.4</v>
      </c>
      <c r="K89" s="11"/>
      <c r="L89" s="11"/>
      <c r="M89" s="11"/>
    </row>
    <row r="90" spans="1:13" x14ac:dyDescent="0.25">
      <c r="A90" s="11"/>
      <c r="B90" s="11"/>
      <c r="C90" s="11"/>
      <c r="D90" s="14"/>
      <c r="E90" s="15" t="s">
        <v>80</v>
      </c>
      <c r="F90" s="11">
        <v>1.1000000000000001</v>
      </c>
      <c r="G90" s="17">
        <v>130</v>
      </c>
      <c r="H90" s="17">
        <v>0</v>
      </c>
      <c r="I90" s="17">
        <v>0</v>
      </c>
      <c r="J90" s="16">
        <f>F90*(G90+ (G90= 0))*(H90+ (H90= 0))*(I90+ (I90= 0))</f>
        <v>143</v>
      </c>
      <c r="K90" s="11"/>
      <c r="L90" s="11"/>
      <c r="M90" s="11"/>
    </row>
    <row r="91" spans="1:13" x14ac:dyDescent="0.25">
      <c r="A91" s="11"/>
      <c r="B91" s="11"/>
      <c r="C91" s="11"/>
      <c r="D91" s="14"/>
      <c r="E91" s="15" t="s">
        <v>81</v>
      </c>
      <c r="F91" s="11">
        <v>1.1000000000000001</v>
      </c>
      <c r="G91" s="17">
        <v>90</v>
      </c>
      <c r="H91" s="17">
        <v>0</v>
      </c>
      <c r="I91" s="17">
        <v>0</v>
      </c>
      <c r="J91" s="16">
        <f>F91*(G91+ (G91= 0))*(H91+ (H91= 0))*(I91+ (I91= 0))</f>
        <v>99.000000000000014</v>
      </c>
      <c r="K91" s="11"/>
      <c r="L91" s="11"/>
      <c r="M91" s="11"/>
    </row>
    <row r="92" spans="1:13" x14ac:dyDescent="0.25">
      <c r="A92" s="11"/>
      <c r="B92" s="11"/>
      <c r="C92" s="11"/>
      <c r="D92" s="14"/>
      <c r="E92" s="15" t="s">
        <v>82</v>
      </c>
      <c r="F92" s="11">
        <v>1.1000000000000001</v>
      </c>
      <c r="G92" s="17">
        <v>240</v>
      </c>
      <c r="H92" s="17">
        <v>0</v>
      </c>
      <c r="I92" s="17">
        <v>0</v>
      </c>
      <c r="J92" s="16">
        <f>F92*(G92+ (G92= 0))*(H92+ (H92= 0))*(I92+ (I92= 0))</f>
        <v>264</v>
      </c>
      <c r="K92" s="11"/>
      <c r="L92" s="11"/>
      <c r="M92" s="11"/>
    </row>
    <row r="93" spans="1:13" x14ac:dyDescent="0.25">
      <c r="A93" s="11"/>
      <c r="B93" s="11"/>
      <c r="C93" s="11"/>
      <c r="D93" s="14"/>
      <c r="E93" s="15" t="s">
        <v>83</v>
      </c>
      <c r="F93" s="11">
        <v>0</v>
      </c>
      <c r="G93" s="17">
        <v>0</v>
      </c>
      <c r="H93" s="17">
        <v>0</v>
      </c>
      <c r="I93" s="17">
        <v>0</v>
      </c>
      <c r="J93" s="16">
        <f>F93*(G93+ (G93= 0))*(H93+ (H93= 0))*(I93+ (I93= 0))</f>
        <v>0</v>
      </c>
      <c r="K93" s="11"/>
      <c r="L93" s="11"/>
      <c r="M93" s="11"/>
    </row>
    <row r="94" spans="1:13" x14ac:dyDescent="0.25">
      <c r="A94" s="11"/>
      <c r="B94" s="11"/>
      <c r="C94" s="11"/>
      <c r="D94" s="14"/>
      <c r="E94" s="15" t="s">
        <v>52</v>
      </c>
      <c r="F94" s="11">
        <v>1.1000000000000001</v>
      </c>
      <c r="G94" s="17">
        <v>2</v>
      </c>
      <c r="H94" s="17">
        <v>4</v>
      </c>
      <c r="I94" s="17">
        <v>0</v>
      </c>
      <c r="J94" s="16">
        <f>F94*(G94+ (G94= 0))*(H94+ (H94= 0))*(I94+ (I94= 0))</f>
        <v>8.8000000000000007</v>
      </c>
      <c r="K94" s="11"/>
      <c r="L94" s="11"/>
      <c r="M94" s="11"/>
    </row>
    <row r="95" spans="1:13" x14ac:dyDescent="0.25">
      <c r="A95" s="11"/>
      <c r="B95" s="11"/>
      <c r="C95" s="11"/>
      <c r="D95" s="14"/>
      <c r="E95" s="15" t="s">
        <v>53</v>
      </c>
      <c r="F95" s="11">
        <v>1.1000000000000001</v>
      </c>
      <c r="G95" s="17">
        <v>2</v>
      </c>
      <c r="H95" s="17">
        <v>4</v>
      </c>
      <c r="I95" s="17">
        <v>0</v>
      </c>
      <c r="J95" s="16">
        <f>F95*(G95+ (G95= 0))*(H95+ (H95= 0))*(I95+ (I95= 0))</f>
        <v>8.8000000000000007</v>
      </c>
      <c r="K95" s="11"/>
      <c r="L95" s="11"/>
      <c r="M95" s="11"/>
    </row>
    <row r="96" spans="1:13" x14ac:dyDescent="0.25">
      <c r="A96" s="11"/>
      <c r="B96" s="11"/>
      <c r="C96" s="11"/>
      <c r="D96" s="14"/>
      <c r="E96" s="15" t="s">
        <v>54</v>
      </c>
      <c r="F96" s="11">
        <v>1.1000000000000001</v>
      </c>
      <c r="G96" s="17">
        <v>2</v>
      </c>
      <c r="H96" s="17">
        <v>4</v>
      </c>
      <c r="I96" s="17">
        <v>0</v>
      </c>
      <c r="J96" s="16">
        <f>F96*(G96+ (G96= 0))*(H96+ (H96= 0))*(I96+ (I96= 0))</f>
        <v>8.8000000000000007</v>
      </c>
      <c r="K96" s="11"/>
      <c r="L96" s="11"/>
      <c r="M96" s="11"/>
    </row>
    <row r="97" spans="1:13" x14ac:dyDescent="0.25">
      <c r="A97" s="11"/>
      <c r="B97" s="11"/>
      <c r="C97" s="11"/>
      <c r="D97" s="14"/>
      <c r="E97" s="15" t="s">
        <v>55</v>
      </c>
      <c r="F97" s="11">
        <v>1.1000000000000001</v>
      </c>
      <c r="G97" s="17">
        <v>2</v>
      </c>
      <c r="H97" s="17">
        <v>4</v>
      </c>
      <c r="I97" s="17">
        <v>0</v>
      </c>
      <c r="J97" s="16">
        <f>F97*(G97+ (G97= 0))*(H97+ (H97= 0))*(I97+ (I97= 0))</f>
        <v>8.8000000000000007</v>
      </c>
      <c r="K97" s="11"/>
      <c r="L97" s="11"/>
      <c r="M97" s="11"/>
    </row>
    <row r="98" spans="1:13" x14ac:dyDescent="0.25">
      <c r="A98" s="11"/>
      <c r="B98" s="11"/>
      <c r="C98" s="11"/>
      <c r="D98" s="14"/>
      <c r="E98" s="15" t="s">
        <v>56</v>
      </c>
      <c r="F98" s="11">
        <v>1.1000000000000001</v>
      </c>
      <c r="G98" s="17">
        <v>2</v>
      </c>
      <c r="H98" s="17">
        <v>4</v>
      </c>
      <c r="I98" s="17">
        <v>0</v>
      </c>
      <c r="J98" s="16">
        <f>F98*(G98+ (G98= 0))*(H98+ (H98= 0))*(I98+ (I98= 0))</f>
        <v>8.8000000000000007</v>
      </c>
      <c r="K98" s="11"/>
      <c r="L98" s="11"/>
      <c r="M98" s="11"/>
    </row>
    <row r="99" spans="1:13" x14ac:dyDescent="0.25">
      <c r="A99" s="11"/>
      <c r="B99" s="11"/>
      <c r="C99" s="11"/>
      <c r="D99" s="14"/>
      <c r="E99" s="15" t="s">
        <v>57</v>
      </c>
      <c r="F99" s="11">
        <v>1.1000000000000001</v>
      </c>
      <c r="G99" s="17">
        <v>2</v>
      </c>
      <c r="H99" s="17">
        <v>4</v>
      </c>
      <c r="I99" s="17">
        <v>0</v>
      </c>
      <c r="J99" s="16">
        <f>F99*(G99+ (G99= 0))*(H99+ (H99= 0))*(I99+ (I99= 0))</f>
        <v>8.8000000000000007</v>
      </c>
      <c r="K99" s="11"/>
      <c r="L99" s="11"/>
      <c r="M99" s="11"/>
    </row>
    <row r="100" spans="1:13" x14ac:dyDescent="0.25">
      <c r="A100" s="11"/>
      <c r="B100" s="11"/>
      <c r="C100" s="11"/>
      <c r="D100" s="14"/>
      <c r="E100" s="15" t="s">
        <v>58</v>
      </c>
      <c r="F100" s="11">
        <v>1.1000000000000001</v>
      </c>
      <c r="G100" s="17">
        <v>2</v>
      </c>
      <c r="H100" s="17">
        <v>4</v>
      </c>
      <c r="I100" s="17">
        <v>0</v>
      </c>
      <c r="J100" s="16">
        <f>F100*(G100+ (G100= 0))*(H100+ (H100= 0))*(I100+ (I100= 0))</f>
        <v>8.8000000000000007</v>
      </c>
      <c r="K100" s="11"/>
      <c r="L100" s="11"/>
      <c r="M100" s="11"/>
    </row>
    <row r="101" spans="1:13" x14ac:dyDescent="0.25">
      <c r="A101" s="11"/>
      <c r="B101" s="11"/>
      <c r="C101" s="11"/>
      <c r="D101" s="14"/>
      <c r="E101" s="15" t="s">
        <v>59</v>
      </c>
      <c r="F101" s="11">
        <v>1.1000000000000001</v>
      </c>
      <c r="G101" s="17">
        <v>2</v>
      </c>
      <c r="H101" s="17">
        <v>11</v>
      </c>
      <c r="I101" s="17">
        <v>0</v>
      </c>
      <c r="J101" s="16">
        <f>F101*(G101+ (G101= 0))*(H101+ (H101= 0))*(I101+ (I101= 0))</f>
        <v>24.200000000000003</v>
      </c>
      <c r="K101" s="11"/>
      <c r="L101" s="11"/>
      <c r="M101" s="11"/>
    </row>
    <row r="102" spans="1:13" x14ac:dyDescent="0.25">
      <c r="A102" s="11"/>
      <c r="B102" s="11"/>
      <c r="C102" s="11"/>
      <c r="D102" s="14"/>
      <c r="E102" s="15" t="s">
        <v>60</v>
      </c>
      <c r="F102" s="11">
        <v>1.1000000000000001</v>
      </c>
      <c r="G102" s="17">
        <v>2</v>
      </c>
      <c r="H102" s="17">
        <v>25</v>
      </c>
      <c r="I102" s="17">
        <v>0</v>
      </c>
      <c r="J102" s="16">
        <f>F102*(G102+ (G102= 0))*(H102+ (H102= 0))*(I102+ (I102= 0))</f>
        <v>55.000000000000007</v>
      </c>
      <c r="K102" s="11"/>
      <c r="L102" s="11"/>
      <c r="M102" s="11"/>
    </row>
    <row r="103" spans="1:13" x14ac:dyDescent="0.25">
      <c r="A103" s="11"/>
      <c r="B103" s="11"/>
      <c r="C103" s="11"/>
      <c r="D103" s="14"/>
      <c r="E103" s="15" t="s">
        <v>61</v>
      </c>
      <c r="F103" s="11">
        <v>1.1000000000000001</v>
      </c>
      <c r="G103" s="17">
        <v>2</v>
      </c>
      <c r="H103" s="17">
        <v>4</v>
      </c>
      <c r="I103" s="17">
        <v>0</v>
      </c>
      <c r="J103" s="16">
        <f>F103*(G103+ (G103= 0))*(H103+ (H103= 0))*(I103+ (I103= 0))</f>
        <v>8.8000000000000007</v>
      </c>
      <c r="K103" s="11"/>
      <c r="L103" s="11"/>
      <c r="M103" s="11"/>
    </row>
    <row r="104" spans="1:13" x14ac:dyDescent="0.25">
      <c r="A104" s="11"/>
      <c r="B104" s="11"/>
      <c r="C104" s="11"/>
      <c r="D104" s="14"/>
      <c r="E104" s="15" t="s">
        <v>62</v>
      </c>
      <c r="F104" s="11">
        <v>1.1000000000000001</v>
      </c>
      <c r="G104" s="17">
        <v>2</v>
      </c>
      <c r="H104" s="17">
        <v>4</v>
      </c>
      <c r="I104" s="17">
        <v>0</v>
      </c>
      <c r="J104" s="16">
        <f>F104*(G104+ (G104= 0))*(H104+ (H104= 0))*(I104+ (I104= 0))</f>
        <v>8.8000000000000007</v>
      </c>
      <c r="K104" s="11"/>
      <c r="L104" s="11"/>
      <c r="M104" s="11"/>
    </row>
    <row r="105" spans="1:13" x14ac:dyDescent="0.25">
      <c r="A105" s="11"/>
      <c r="B105" s="11"/>
      <c r="C105" s="11"/>
      <c r="D105" s="14"/>
      <c r="E105" s="15" t="s">
        <v>63</v>
      </c>
      <c r="F105" s="11">
        <v>1.1000000000000001</v>
      </c>
      <c r="G105" s="17">
        <v>2</v>
      </c>
      <c r="H105" s="17">
        <v>4</v>
      </c>
      <c r="I105" s="17">
        <v>0</v>
      </c>
      <c r="J105" s="16">
        <f>F105*(G105+ (G105= 0))*(H105+ (H105= 0))*(I105+ (I105= 0))</f>
        <v>8.8000000000000007</v>
      </c>
      <c r="K105" s="11"/>
      <c r="L105" s="11"/>
      <c r="M105" s="11"/>
    </row>
    <row r="106" spans="1:13" x14ac:dyDescent="0.25">
      <c r="A106" s="11"/>
      <c r="B106" s="11"/>
      <c r="C106" s="11"/>
      <c r="D106" s="14"/>
      <c r="E106" s="15" t="s">
        <v>64</v>
      </c>
      <c r="F106" s="11">
        <v>1.1000000000000001</v>
      </c>
      <c r="G106" s="17">
        <v>2</v>
      </c>
      <c r="H106" s="17">
        <v>4</v>
      </c>
      <c r="I106" s="17">
        <v>0</v>
      </c>
      <c r="J106" s="16">
        <f>F106*(G106+ (G106= 0))*(H106+ (H106= 0))*(I106+ (I106= 0))</f>
        <v>8.8000000000000007</v>
      </c>
      <c r="K106" s="11"/>
      <c r="L106" s="11"/>
      <c r="M106" s="11"/>
    </row>
    <row r="107" spans="1:13" x14ac:dyDescent="0.25">
      <c r="A107" s="11"/>
      <c r="B107" s="11"/>
      <c r="C107" s="11"/>
      <c r="D107" s="14"/>
      <c r="E107" s="15" t="s">
        <v>65</v>
      </c>
      <c r="F107" s="11">
        <v>1.1000000000000001</v>
      </c>
      <c r="G107" s="17">
        <v>2</v>
      </c>
      <c r="H107" s="17">
        <v>5</v>
      </c>
      <c r="I107" s="17">
        <v>0</v>
      </c>
      <c r="J107" s="16">
        <f>F107*(G107+ (G107= 0))*(H107+ (H107= 0))*(I107+ (I107= 0))</f>
        <v>11</v>
      </c>
      <c r="K107" s="11"/>
      <c r="L107" s="11"/>
      <c r="M107" s="11"/>
    </row>
    <row r="108" spans="1:13" x14ac:dyDescent="0.25">
      <c r="A108" s="11"/>
      <c r="B108" s="11"/>
      <c r="C108" s="11"/>
      <c r="D108" s="14"/>
      <c r="E108" s="15" t="s">
        <v>66</v>
      </c>
      <c r="F108" s="11">
        <v>1.1000000000000001</v>
      </c>
      <c r="G108" s="17">
        <v>2</v>
      </c>
      <c r="H108" s="17">
        <v>2</v>
      </c>
      <c r="I108" s="17">
        <v>0</v>
      </c>
      <c r="J108" s="16">
        <f>F108*(G108+ (G108= 0))*(H108+ (H108= 0))*(I108+ (I108= 0))</f>
        <v>4.4000000000000004</v>
      </c>
      <c r="K108" s="11"/>
      <c r="L108" s="11"/>
      <c r="M108" s="11"/>
    </row>
    <row r="109" spans="1:13" x14ac:dyDescent="0.25">
      <c r="A109" s="11"/>
      <c r="B109" s="11"/>
      <c r="C109" s="11"/>
      <c r="D109" s="14"/>
      <c r="E109" s="15" t="s">
        <v>67</v>
      </c>
      <c r="F109" s="11">
        <v>1.1000000000000001</v>
      </c>
      <c r="G109" s="17">
        <v>2</v>
      </c>
      <c r="H109" s="17">
        <v>3</v>
      </c>
      <c r="I109" s="17">
        <v>0</v>
      </c>
      <c r="J109" s="16">
        <f>F109*(G109+ (G109= 0))*(H109+ (H109= 0))*(I109+ (I109= 0))</f>
        <v>6.6000000000000005</v>
      </c>
      <c r="K109" s="11"/>
      <c r="L109" s="11"/>
      <c r="M109" s="11"/>
    </row>
    <row r="110" spans="1:13" x14ac:dyDescent="0.25">
      <c r="A110" s="11"/>
      <c r="B110" s="11"/>
      <c r="C110" s="11"/>
      <c r="D110" s="14"/>
      <c r="E110" s="15" t="s">
        <v>84</v>
      </c>
      <c r="F110" s="11">
        <v>0</v>
      </c>
      <c r="G110" s="17">
        <v>0</v>
      </c>
      <c r="H110" s="17">
        <v>0</v>
      </c>
      <c r="I110" s="17">
        <v>0</v>
      </c>
      <c r="J110" s="16">
        <f>F110*(G110+ (G110= 0))*(H110+ (H110= 0))*(I110+ (I110= 0))</f>
        <v>0</v>
      </c>
      <c r="K110" s="11"/>
      <c r="L110" s="11"/>
      <c r="M110" s="11"/>
    </row>
    <row r="111" spans="1:13" x14ac:dyDescent="0.25">
      <c r="A111" s="11"/>
      <c r="B111" s="11"/>
      <c r="C111" s="11"/>
      <c r="D111" s="14"/>
      <c r="E111" s="11"/>
      <c r="F111" s="11"/>
      <c r="G111" s="11"/>
      <c r="H111" s="11"/>
      <c r="I111" s="11"/>
      <c r="J111" s="18" t="s">
        <v>85</v>
      </c>
      <c r="K111" s="10">
        <f>SUM(J86:J110)</f>
        <v>1036.1999999999996</v>
      </c>
      <c r="L111" s="17">
        <v>0</v>
      </c>
      <c r="M111" s="10">
        <f>ROUND(L111*K111,2)</f>
        <v>0</v>
      </c>
    </row>
    <row r="112" spans="1:13" x14ac:dyDescent="0.25">
      <c r="A112" s="19"/>
      <c r="B112" s="19"/>
      <c r="C112" s="19"/>
      <c r="D112" s="26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1:13" x14ac:dyDescent="0.25">
      <c r="A113" s="15" t="s">
        <v>86</v>
      </c>
      <c r="B113" s="15" t="s">
        <v>23</v>
      </c>
      <c r="C113" s="15" t="s">
        <v>18</v>
      </c>
      <c r="D113" s="25" t="s">
        <v>87</v>
      </c>
      <c r="E113" s="11"/>
      <c r="F113" s="11"/>
      <c r="G113" s="11"/>
      <c r="H113" s="11"/>
      <c r="I113" s="11"/>
      <c r="J113" s="11"/>
      <c r="K113" s="16">
        <f>K132</f>
        <v>64</v>
      </c>
      <c r="L113" s="16">
        <f>L132</f>
        <v>0</v>
      </c>
      <c r="M113" s="16">
        <f>M132</f>
        <v>0</v>
      </c>
    </row>
    <row r="114" spans="1:13" ht="22.5" x14ac:dyDescent="0.25">
      <c r="A114" s="11"/>
      <c r="B114" s="11"/>
      <c r="C114" s="11"/>
      <c r="D114" s="14" t="s">
        <v>88</v>
      </c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x14ac:dyDescent="0.25">
      <c r="A115" s="11"/>
      <c r="B115" s="11"/>
      <c r="C115" s="11"/>
      <c r="D115" s="14"/>
      <c r="E115" s="15" t="s">
        <v>89</v>
      </c>
      <c r="F115" s="11">
        <v>0</v>
      </c>
      <c r="G115" s="17">
        <v>0</v>
      </c>
      <c r="H115" s="17">
        <v>0</v>
      </c>
      <c r="I115" s="17">
        <v>0</v>
      </c>
      <c r="J115" s="16">
        <f>F115*(G115+ (G115= 0))*(H115+ (H115= 0))*(I115+ (I115= 0))</f>
        <v>0</v>
      </c>
      <c r="K115" s="11"/>
      <c r="L115" s="11"/>
      <c r="M115" s="11"/>
    </row>
    <row r="116" spans="1:13" x14ac:dyDescent="0.25">
      <c r="A116" s="11"/>
      <c r="B116" s="11"/>
      <c r="C116" s="11"/>
      <c r="D116" s="14"/>
      <c r="E116" s="15" t="s">
        <v>52</v>
      </c>
      <c r="F116" s="11">
        <v>4</v>
      </c>
      <c r="G116" s="17">
        <v>0</v>
      </c>
      <c r="H116" s="17">
        <v>0</v>
      </c>
      <c r="I116" s="17">
        <v>0</v>
      </c>
      <c r="J116" s="16">
        <f>F116*(G116+ (G116= 0))*(H116+ (H116= 0))*(I116+ (I116= 0))</f>
        <v>4</v>
      </c>
      <c r="K116" s="11"/>
      <c r="L116" s="11"/>
      <c r="M116" s="11"/>
    </row>
    <row r="117" spans="1:13" x14ac:dyDescent="0.25">
      <c r="A117" s="11"/>
      <c r="B117" s="11"/>
      <c r="C117" s="11"/>
      <c r="D117" s="14"/>
      <c r="E117" s="15" t="s">
        <v>53</v>
      </c>
      <c r="F117" s="11">
        <v>4</v>
      </c>
      <c r="G117" s="17">
        <v>0</v>
      </c>
      <c r="H117" s="17">
        <v>0</v>
      </c>
      <c r="I117" s="17">
        <v>0</v>
      </c>
      <c r="J117" s="16">
        <f>F117*(G117+ (G117= 0))*(H117+ (H117= 0))*(I117+ (I117= 0))</f>
        <v>4</v>
      </c>
      <c r="K117" s="11"/>
      <c r="L117" s="11"/>
      <c r="M117" s="11"/>
    </row>
    <row r="118" spans="1:13" x14ac:dyDescent="0.25">
      <c r="A118" s="11"/>
      <c r="B118" s="11"/>
      <c r="C118" s="11"/>
      <c r="D118" s="14"/>
      <c r="E118" s="15" t="s">
        <v>54</v>
      </c>
      <c r="F118" s="11">
        <v>4</v>
      </c>
      <c r="G118" s="17">
        <v>0</v>
      </c>
      <c r="H118" s="17">
        <v>0</v>
      </c>
      <c r="I118" s="17">
        <v>0</v>
      </c>
      <c r="J118" s="16">
        <f>F118*(G118+ (G118= 0))*(H118+ (H118= 0))*(I118+ (I118= 0))</f>
        <v>4</v>
      </c>
      <c r="K118" s="11"/>
      <c r="L118" s="11"/>
      <c r="M118" s="11"/>
    </row>
    <row r="119" spans="1:13" x14ac:dyDescent="0.25">
      <c r="A119" s="11"/>
      <c r="B119" s="11"/>
      <c r="C119" s="11"/>
      <c r="D119" s="14"/>
      <c r="E119" s="15" t="s">
        <v>55</v>
      </c>
      <c r="F119" s="11">
        <v>4</v>
      </c>
      <c r="G119" s="17">
        <v>0</v>
      </c>
      <c r="H119" s="17">
        <v>0</v>
      </c>
      <c r="I119" s="17">
        <v>0</v>
      </c>
      <c r="J119" s="16">
        <f>F119*(G119+ (G119= 0))*(H119+ (H119= 0))*(I119+ (I119= 0))</f>
        <v>4</v>
      </c>
      <c r="K119" s="11"/>
      <c r="L119" s="11"/>
      <c r="M119" s="11"/>
    </row>
    <row r="120" spans="1:13" x14ac:dyDescent="0.25">
      <c r="A120" s="11"/>
      <c r="B120" s="11"/>
      <c r="C120" s="11"/>
      <c r="D120" s="14"/>
      <c r="E120" s="15" t="s">
        <v>56</v>
      </c>
      <c r="F120" s="11">
        <v>4</v>
      </c>
      <c r="G120" s="17">
        <v>0</v>
      </c>
      <c r="H120" s="17">
        <v>0</v>
      </c>
      <c r="I120" s="17">
        <v>0</v>
      </c>
      <c r="J120" s="16">
        <f>F120*(G120+ (G120= 0))*(H120+ (H120= 0))*(I120+ (I120= 0))</f>
        <v>4</v>
      </c>
      <c r="K120" s="11"/>
      <c r="L120" s="11"/>
      <c r="M120" s="11"/>
    </row>
    <row r="121" spans="1:13" x14ac:dyDescent="0.25">
      <c r="A121" s="11"/>
      <c r="B121" s="11"/>
      <c r="C121" s="11"/>
      <c r="D121" s="14"/>
      <c r="E121" s="15" t="s">
        <v>57</v>
      </c>
      <c r="F121" s="11">
        <v>4</v>
      </c>
      <c r="G121" s="17">
        <v>0</v>
      </c>
      <c r="H121" s="17">
        <v>0</v>
      </c>
      <c r="I121" s="17">
        <v>0</v>
      </c>
      <c r="J121" s="16">
        <f>F121*(G121+ (G121= 0))*(H121+ (H121= 0))*(I121+ (I121= 0))</f>
        <v>4</v>
      </c>
      <c r="K121" s="11"/>
      <c r="L121" s="11"/>
      <c r="M121" s="11"/>
    </row>
    <row r="122" spans="1:13" x14ac:dyDescent="0.25">
      <c r="A122" s="11"/>
      <c r="B122" s="11"/>
      <c r="C122" s="11"/>
      <c r="D122" s="14"/>
      <c r="E122" s="15" t="s">
        <v>58</v>
      </c>
      <c r="F122" s="11">
        <v>4</v>
      </c>
      <c r="G122" s="17">
        <v>0</v>
      </c>
      <c r="H122" s="17">
        <v>0</v>
      </c>
      <c r="I122" s="17">
        <v>0</v>
      </c>
      <c r="J122" s="16">
        <f>F122*(G122+ (G122= 0))*(H122+ (H122= 0))*(I122+ (I122= 0))</f>
        <v>4</v>
      </c>
      <c r="K122" s="11"/>
      <c r="L122" s="11"/>
      <c r="M122" s="11"/>
    </row>
    <row r="123" spans="1:13" x14ac:dyDescent="0.25">
      <c r="A123" s="11"/>
      <c r="B123" s="11"/>
      <c r="C123" s="11"/>
      <c r="D123" s="14"/>
      <c r="E123" s="15" t="s">
        <v>59</v>
      </c>
      <c r="F123" s="11">
        <v>4</v>
      </c>
      <c r="G123" s="17">
        <v>0</v>
      </c>
      <c r="H123" s="17">
        <v>0</v>
      </c>
      <c r="I123" s="17">
        <v>0</v>
      </c>
      <c r="J123" s="16">
        <f>F123*(G123+ (G123= 0))*(H123+ (H123= 0))*(I123+ (I123= 0))</f>
        <v>4</v>
      </c>
      <c r="K123" s="11"/>
      <c r="L123" s="11"/>
      <c r="M123" s="11"/>
    </row>
    <row r="124" spans="1:13" x14ac:dyDescent="0.25">
      <c r="A124" s="11"/>
      <c r="B124" s="11"/>
      <c r="C124" s="11"/>
      <c r="D124" s="14"/>
      <c r="E124" s="15" t="s">
        <v>60</v>
      </c>
      <c r="F124" s="11">
        <v>4</v>
      </c>
      <c r="G124" s="17">
        <v>0</v>
      </c>
      <c r="H124" s="17">
        <v>0</v>
      </c>
      <c r="I124" s="17">
        <v>0</v>
      </c>
      <c r="J124" s="16">
        <f>F124*(G124+ (G124= 0))*(H124+ (H124= 0))*(I124+ (I124= 0))</f>
        <v>4</v>
      </c>
      <c r="K124" s="11"/>
      <c r="L124" s="11"/>
      <c r="M124" s="11"/>
    </row>
    <row r="125" spans="1:13" x14ac:dyDescent="0.25">
      <c r="A125" s="11"/>
      <c r="B125" s="11"/>
      <c r="C125" s="11"/>
      <c r="D125" s="14"/>
      <c r="E125" s="15" t="s">
        <v>61</v>
      </c>
      <c r="F125" s="11">
        <v>4</v>
      </c>
      <c r="G125" s="17">
        <v>0</v>
      </c>
      <c r="H125" s="17">
        <v>0</v>
      </c>
      <c r="I125" s="17">
        <v>0</v>
      </c>
      <c r="J125" s="16">
        <f>F125*(G125+ (G125= 0))*(H125+ (H125= 0))*(I125+ (I125= 0))</f>
        <v>4</v>
      </c>
      <c r="K125" s="11"/>
      <c r="L125" s="11"/>
      <c r="M125" s="11"/>
    </row>
    <row r="126" spans="1:13" x14ac:dyDescent="0.25">
      <c r="A126" s="11"/>
      <c r="B126" s="11"/>
      <c r="C126" s="11"/>
      <c r="D126" s="14"/>
      <c r="E126" s="15" t="s">
        <v>62</v>
      </c>
      <c r="F126" s="11">
        <v>4</v>
      </c>
      <c r="G126" s="17">
        <v>0</v>
      </c>
      <c r="H126" s="17">
        <v>0</v>
      </c>
      <c r="I126" s="17">
        <v>0</v>
      </c>
      <c r="J126" s="16">
        <f>F126*(G126+ (G126= 0))*(H126+ (H126= 0))*(I126+ (I126= 0))</f>
        <v>4</v>
      </c>
      <c r="K126" s="11"/>
      <c r="L126" s="11"/>
      <c r="M126" s="11"/>
    </row>
    <row r="127" spans="1:13" x14ac:dyDescent="0.25">
      <c r="A127" s="11"/>
      <c r="B127" s="11"/>
      <c r="C127" s="11"/>
      <c r="D127" s="14"/>
      <c r="E127" s="15" t="s">
        <v>63</v>
      </c>
      <c r="F127" s="11">
        <v>4</v>
      </c>
      <c r="G127" s="17">
        <v>0</v>
      </c>
      <c r="H127" s="17">
        <v>0</v>
      </c>
      <c r="I127" s="17">
        <v>0</v>
      </c>
      <c r="J127" s="16">
        <f>F127*(G127+ (G127= 0))*(H127+ (H127= 0))*(I127+ (I127= 0))</f>
        <v>4</v>
      </c>
      <c r="K127" s="11"/>
      <c r="L127" s="11"/>
      <c r="M127" s="11"/>
    </row>
    <row r="128" spans="1:13" x14ac:dyDescent="0.25">
      <c r="A128" s="11"/>
      <c r="B128" s="11"/>
      <c r="C128" s="11"/>
      <c r="D128" s="14"/>
      <c r="E128" s="15" t="s">
        <v>64</v>
      </c>
      <c r="F128" s="11">
        <v>4</v>
      </c>
      <c r="G128" s="17">
        <v>0</v>
      </c>
      <c r="H128" s="17">
        <v>0</v>
      </c>
      <c r="I128" s="17">
        <v>0</v>
      </c>
      <c r="J128" s="16">
        <f>F128*(G128+ (G128= 0))*(H128+ (H128= 0))*(I128+ (I128= 0))</f>
        <v>4</v>
      </c>
      <c r="K128" s="11"/>
      <c r="L128" s="11"/>
      <c r="M128" s="11"/>
    </row>
    <row r="129" spans="1:13" x14ac:dyDescent="0.25">
      <c r="A129" s="11"/>
      <c r="B129" s="11"/>
      <c r="C129" s="11"/>
      <c r="D129" s="14"/>
      <c r="E129" s="15" t="s">
        <v>65</v>
      </c>
      <c r="F129" s="11">
        <v>4</v>
      </c>
      <c r="G129" s="17">
        <v>0</v>
      </c>
      <c r="H129" s="17">
        <v>0</v>
      </c>
      <c r="I129" s="17">
        <v>0</v>
      </c>
      <c r="J129" s="16">
        <f>F129*(G129+ (G129= 0))*(H129+ (H129= 0))*(I129+ (I129= 0))</f>
        <v>4</v>
      </c>
      <c r="K129" s="11"/>
      <c r="L129" s="11"/>
      <c r="M129" s="11"/>
    </row>
    <row r="130" spans="1:13" x14ac:dyDescent="0.25">
      <c r="A130" s="11"/>
      <c r="B130" s="11"/>
      <c r="C130" s="11"/>
      <c r="D130" s="14"/>
      <c r="E130" s="15" t="s">
        <v>66</v>
      </c>
      <c r="F130" s="11">
        <v>4</v>
      </c>
      <c r="G130" s="17">
        <v>0</v>
      </c>
      <c r="H130" s="17">
        <v>0</v>
      </c>
      <c r="I130" s="17">
        <v>0</v>
      </c>
      <c r="J130" s="16">
        <f>F130*(G130+ (G130= 0))*(H130+ (H130= 0))*(I130+ (I130= 0))</f>
        <v>4</v>
      </c>
      <c r="K130" s="11"/>
      <c r="L130" s="11"/>
      <c r="M130" s="11"/>
    </row>
    <row r="131" spans="1:13" x14ac:dyDescent="0.25">
      <c r="A131" s="11"/>
      <c r="B131" s="11"/>
      <c r="C131" s="11"/>
      <c r="D131" s="14"/>
      <c r="E131" s="15" t="s">
        <v>67</v>
      </c>
      <c r="F131" s="11">
        <v>4</v>
      </c>
      <c r="G131" s="17">
        <v>0</v>
      </c>
      <c r="H131" s="17">
        <v>0</v>
      </c>
      <c r="I131" s="17">
        <v>0</v>
      </c>
      <c r="J131" s="16">
        <f>F131*(G131+ (G131= 0))*(H131+ (H131= 0))*(I131+ (I131= 0))</f>
        <v>4</v>
      </c>
      <c r="K131" s="11"/>
      <c r="L131" s="11"/>
      <c r="M131" s="11"/>
    </row>
    <row r="132" spans="1:13" x14ac:dyDescent="0.25">
      <c r="A132" s="11"/>
      <c r="B132" s="11"/>
      <c r="C132" s="11"/>
      <c r="D132" s="14"/>
      <c r="E132" s="11"/>
      <c r="F132" s="11"/>
      <c r="G132" s="11"/>
      <c r="H132" s="11"/>
      <c r="I132" s="11"/>
      <c r="J132" s="18" t="s">
        <v>90</v>
      </c>
      <c r="K132" s="10">
        <f>SUM(J115:J131)</f>
        <v>64</v>
      </c>
      <c r="L132" s="17">
        <v>0</v>
      </c>
      <c r="M132" s="10">
        <f>ROUND(L132*K132,2)</f>
        <v>0</v>
      </c>
    </row>
    <row r="133" spans="1:13" x14ac:dyDescent="0.25">
      <c r="A133" s="19"/>
      <c r="B133" s="19"/>
      <c r="C133" s="19"/>
      <c r="D133" s="26"/>
      <c r="E133" s="19"/>
      <c r="F133" s="19"/>
      <c r="G133" s="19"/>
      <c r="H133" s="19"/>
      <c r="I133" s="19"/>
      <c r="J133" s="19"/>
      <c r="K133" s="19"/>
      <c r="L133" s="19"/>
      <c r="M133" s="19"/>
    </row>
    <row r="134" spans="1:13" x14ac:dyDescent="0.25">
      <c r="A134" s="11"/>
      <c r="B134" s="11"/>
      <c r="C134" s="11"/>
      <c r="D134" s="14"/>
      <c r="E134" s="11"/>
      <c r="F134" s="11"/>
      <c r="G134" s="11"/>
      <c r="H134" s="11"/>
      <c r="I134" s="11"/>
      <c r="J134" s="18" t="s">
        <v>91</v>
      </c>
      <c r="K134" s="17">
        <v>1</v>
      </c>
      <c r="L134" s="10">
        <f>M61+M82+M111+M132</f>
        <v>0</v>
      </c>
      <c r="M134" s="10">
        <f>ROUND(L134*K134,2)</f>
        <v>0</v>
      </c>
    </row>
    <row r="135" spans="1:13" x14ac:dyDescent="0.25">
      <c r="A135" s="19"/>
      <c r="B135" s="19"/>
      <c r="C135" s="19"/>
      <c r="D135" s="26"/>
      <c r="E135" s="19"/>
      <c r="F135" s="19"/>
      <c r="G135" s="19"/>
      <c r="H135" s="19"/>
      <c r="I135" s="19"/>
      <c r="J135" s="19"/>
      <c r="K135" s="19"/>
      <c r="L135" s="19"/>
      <c r="M135" s="19"/>
    </row>
    <row r="136" spans="1:13" x14ac:dyDescent="0.25">
      <c r="A136" s="12" t="s">
        <v>92</v>
      </c>
      <c r="B136" s="12" t="s">
        <v>17</v>
      </c>
      <c r="C136" s="12" t="s">
        <v>18</v>
      </c>
      <c r="D136" s="24" t="s">
        <v>93</v>
      </c>
      <c r="E136" s="13"/>
      <c r="F136" s="13"/>
      <c r="G136" s="13"/>
      <c r="H136" s="13"/>
      <c r="I136" s="13"/>
      <c r="J136" s="13"/>
      <c r="K136" s="10">
        <f>K225</f>
        <v>1</v>
      </c>
      <c r="L136" s="10">
        <f>L225</f>
        <v>0</v>
      </c>
      <c r="M136" s="10">
        <f>M225</f>
        <v>0</v>
      </c>
    </row>
    <row r="137" spans="1:13" ht="22.5" x14ac:dyDescent="0.25">
      <c r="A137" s="11"/>
      <c r="B137" s="11"/>
      <c r="C137" s="11"/>
      <c r="D137" s="14" t="s">
        <v>94</v>
      </c>
      <c r="E137" s="11"/>
      <c r="F137" s="11"/>
      <c r="G137" s="11"/>
      <c r="H137" s="11"/>
      <c r="I137" s="11"/>
      <c r="J137" s="11"/>
      <c r="K137" s="11"/>
      <c r="L137" s="11"/>
      <c r="M137" s="11"/>
    </row>
    <row r="138" spans="1:13" x14ac:dyDescent="0.25">
      <c r="A138" s="15" t="s">
        <v>95</v>
      </c>
      <c r="B138" s="15" t="s">
        <v>23</v>
      </c>
      <c r="C138" s="15" t="s">
        <v>18</v>
      </c>
      <c r="D138" s="25" t="s">
        <v>96</v>
      </c>
      <c r="E138" s="11"/>
      <c r="F138" s="11"/>
      <c r="G138" s="11"/>
      <c r="H138" s="11"/>
      <c r="I138" s="11"/>
      <c r="J138" s="11"/>
      <c r="K138" s="16">
        <f>K153</f>
        <v>13</v>
      </c>
      <c r="L138" s="16">
        <f>L153</f>
        <v>0</v>
      </c>
      <c r="M138" s="16">
        <f>M153</f>
        <v>0</v>
      </c>
    </row>
    <row r="139" spans="1:13" ht="22.5" x14ac:dyDescent="0.25">
      <c r="A139" s="11"/>
      <c r="B139" s="11"/>
      <c r="C139" s="11"/>
      <c r="D139" s="14" t="s">
        <v>188</v>
      </c>
      <c r="E139" s="11"/>
      <c r="F139" s="11"/>
      <c r="G139" s="11"/>
      <c r="H139" s="11"/>
      <c r="I139" s="11"/>
      <c r="J139" s="11"/>
      <c r="K139" s="11"/>
      <c r="L139" s="11"/>
      <c r="M139" s="11"/>
    </row>
    <row r="140" spans="1:13" x14ac:dyDescent="0.25">
      <c r="A140" s="11"/>
      <c r="B140" s="11"/>
      <c r="C140" s="11"/>
      <c r="D140" s="14"/>
      <c r="E140" s="15" t="s">
        <v>97</v>
      </c>
      <c r="F140" s="11">
        <v>0</v>
      </c>
      <c r="G140" s="17">
        <v>0</v>
      </c>
      <c r="H140" s="17">
        <v>0</v>
      </c>
      <c r="I140" s="17">
        <v>0</v>
      </c>
      <c r="J140" s="16">
        <f>F140*(G140+ (G140= 0))*(H140+ (H140= 0))*(I140+ (I140= 0))</f>
        <v>0</v>
      </c>
      <c r="K140" s="11"/>
      <c r="L140" s="11"/>
      <c r="M140" s="11"/>
    </row>
    <row r="141" spans="1:13" x14ac:dyDescent="0.25">
      <c r="A141" s="11"/>
      <c r="B141" s="11"/>
      <c r="C141" s="11"/>
      <c r="D141" s="14"/>
      <c r="E141" s="15" t="s">
        <v>98</v>
      </c>
      <c r="F141" s="11">
        <v>1</v>
      </c>
      <c r="G141" s="17">
        <v>0</v>
      </c>
      <c r="H141" s="17">
        <v>0</v>
      </c>
      <c r="I141" s="17">
        <v>0</v>
      </c>
      <c r="J141" s="16">
        <f>F141*(G141+ (G141= 0))*(H141+ (H141= 0))*(I141+ (I141= 0))</f>
        <v>1</v>
      </c>
      <c r="K141" s="11"/>
      <c r="L141" s="11"/>
      <c r="M141" s="11"/>
    </row>
    <row r="142" spans="1:13" x14ac:dyDescent="0.25">
      <c r="A142" s="11"/>
      <c r="B142" s="11"/>
      <c r="C142" s="11"/>
      <c r="D142" s="14"/>
      <c r="E142" s="15" t="s">
        <v>99</v>
      </c>
      <c r="F142" s="11">
        <v>1</v>
      </c>
      <c r="G142" s="17">
        <v>0</v>
      </c>
      <c r="H142" s="17">
        <v>0</v>
      </c>
      <c r="I142" s="17">
        <v>0</v>
      </c>
      <c r="J142" s="16">
        <f>F142*(G142+ (G142= 0))*(H142+ (H142= 0))*(I142+ (I142= 0))</f>
        <v>1</v>
      </c>
      <c r="K142" s="11"/>
      <c r="L142" s="11"/>
      <c r="M142" s="11"/>
    </row>
    <row r="143" spans="1:13" x14ac:dyDescent="0.25">
      <c r="A143" s="11"/>
      <c r="B143" s="11"/>
      <c r="C143" s="11"/>
      <c r="D143" s="14"/>
      <c r="E143" s="15" t="s">
        <v>100</v>
      </c>
      <c r="F143" s="11">
        <v>1</v>
      </c>
      <c r="G143" s="17">
        <v>0</v>
      </c>
      <c r="H143" s="17">
        <v>0</v>
      </c>
      <c r="I143" s="17">
        <v>0</v>
      </c>
      <c r="J143" s="16">
        <f>F143*(G143+ (G143= 0))*(H143+ (H143= 0))*(I143+ (I143= 0))</f>
        <v>1</v>
      </c>
      <c r="K143" s="11"/>
      <c r="L143" s="11"/>
      <c r="M143" s="11"/>
    </row>
    <row r="144" spans="1:13" x14ac:dyDescent="0.25">
      <c r="A144" s="11"/>
      <c r="B144" s="11"/>
      <c r="C144" s="11"/>
      <c r="D144" s="14"/>
      <c r="E144" s="15" t="s">
        <v>101</v>
      </c>
      <c r="F144" s="11">
        <v>2</v>
      </c>
      <c r="G144" s="17">
        <v>0</v>
      </c>
      <c r="H144" s="17">
        <v>0</v>
      </c>
      <c r="I144" s="17">
        <v>0</v>
      </c>
      <c r="J144" s="16">
        <f>F144*(G144+ (G144= 0))*(H144+ (H144= 0))*(I144+ (I144= 0))</f>
        <v>2</v>
      </c>
      <c r="K144" s="11"/>
      <c r="L144" s="11"/>
      <c r="M144" s="11"/>
    </row>
    <row r="145" spans="1:13" x14ac:dyDescent="0.25">
      <c r="A145" s="11"/>
      <c r="B145" s="11"/>
      <c r="C145" s="11"/>
      <c r="D145" s="14"/>
      <c r="E145" s="15" t="s">
        <v>102</v>
      </c>
      <c r="F145" s="11">
        <v>1</v>
      </c>
      <c r="G145" s="17">
        <v>0</v>
      </c>
      <c r="H145" s="17">
        <v>0</v>
      </c>
      <c r="I145" s="17">
        <v>0</v>
      </c>
      <c r="J145" s="16">
        <f>F145*(G145+ (G145= 0))*(H145+ (H145= 0))*(I145+ (I145= 0))</f>
        <v>1</v>
      </c>
      <c r="K145" s="11"/>
      <c r="L145" s="11"/>
      <c r="M145" s="11"/>
    </row>
    <row r="146" spans="1:13" x14ac:dyDescent="0.25">
      <c r="A146" s="11"/>
      <c r="B146" s="11"/>
      <c r="C146" s="11"/>
      <c r="D146" s="14"/>
      <c r="E146" s="15" t="s">
        <v>103</v>
      </c>
      <c r="F146" s="11">
        <v>4</v>
      </c>
      <c r="G146" s="17">
        <v>0</v>
      </c>
      <c r="H146" s="17">
        <v>0</v>
      </c>
      <c r="I146" s="17">
        <v>0</v>
      </c>
      <c r="J146" s="16">
        <f>F146*(G146+ (G146= 0))*(H146+ (H146= 0))*(I146+ (I146= 0))</f>
        <v>4</v>
      </c>
      <c r="K146" s="11"/>
      <c r="L146" s="11"/>
      <c r="M146" s="11"/>
    </row>
    <row r="147" spans="1:13" x14ac:dyDescent="0.25">
      <c r="A147" s="11"/>
      <c r="B147" s="11"/>
      <c r="C147" s="11"/>
      <c r="D147" s="14"/>
      <c r="E147" s="15" t="s">
        <v>104</v>
      </c>
      <c r="F147" s="11">
        <v>2</v>
      </c>
      <c r="G147" s="17">
        <v>0</v>
      </c>
      <c r="H147" s="17">
        <v>0</v>
      </c>
      <c r="I147" s="17">
        <v>0</v>
      </c>
      <c r="J147" s="16">
        <f>F147*(G147+ (G147= 0))*(H147+ (H147= 0))*(I147+ (I147= 0))</f>
        <v>2</v>
      </c>
      <c r="K147" s="11"/>
      <c r="L147" s="11"/>
      <c r="M147" s="11"/>
    </row>
    <row r="148" spans="1:13" x14ac:dyDescent="0.25">
      <c r="A148" s="11"/>
      <c r="B148" s="11"/>
      <c r="C148" s="11"/>
      <c r="D148" s="14"/>
      <c r="E148" s="15" t="s">
        <v>103</v>
      </c>
      <c r="F148" s="11">
        <v>0</v>
      </c>
      <c r="G148" s="17">
        <v>0</v>
      </c>
      <c r="H148" s="17">
        <v>0</v>
      </c>
      <c r="I148" s="17">
        <v>0</v>
      </c>
      <c r="J148" s="16">
        <f>F148*(G148+ (G148= 0))*(H148+ (H148= 0))*(I148+ (I148= 0))</f>
        <v>0</v>
      </c>
      <c r="K148" s="11"/>
      <c r="L148" s="11"/>
      <c r="M148" s="11"/>
    </row>
    <row r="149" spans="1:13" x14ac:dyDescent="0.25">
      <c r="A149" s="11"/>
      <c r="B149" s="11"/>
      <c r="C149" s="11"/>
      <c r="D149" s="14"/>
      <c r="E149" s="15" t="s">
        <v>105</v>
      </c>
      <c r="F149" s="11">
        <v>1</v>
      </c>
      <c r="G149" s="17">
        <v>0</v>
      </c>
      <c r="H149" s="17">
        <v>0</v>
      </c>
      <c r="I149" s="17">
        <v>0</v>
      </c>
      <c r="J149" s="16">
        <f>F149*(G149+ (G149= 0))*(H149+ (H149= 0))*(I149+ (I149= 0))</f>
        <v>1</v>
      </c>
      <c r="K149" s="11"/>
      <c r="L149" s="11"/>
      <c r="M149" s="11"/>
    </row>
    <row r="150" spans="1:13" x14ac:dyDescent="0.25">
      <c r="A150" s="11"/>
      <c r="B150" s="11"/>
      <c r="C150" s="11"/>
      <c r="D150" s="14"/>
      <c r="E150" s="15" t="s">
        <v>106</v>
      </c>
      <c r="F150" s="11">
        <v>0</v>
      </c>
      <c r="G150" s="17">
        <v>0</v>
      </c>
      <c r="H150" s="17">
        <v>0</v>
      </c>
      <c r="I150" s="17">
        <v>0</v>
      </c>
      <c r="J150" s="16">
        <f>F150*(G150+ (G150= 0))*(H150+ (H150= 0))*(I150+ (I150= 0))</f>
        <v>0</v>
      </c>
      <c r="K150" s="11"/>
      <c r="L150" s="11"/>
      <c r="M150" s="11"/>
    </row>
    <row r="151" spans="1:13" x14ac:dyDescent="0.25">
      <c r="A151" s="11"/>
      <c r="B151" s="11"/>
      <c r="C151" s="11"/>
      <c r="D151" s="14"/>
      <c r="E151" s="15" t="s">
        <v>105</v>
      </c>
      <c r="F151" s="11">
        <v>0</v>
      </c>
      <c r="G151" s="17">
        <v>0</v>
      </c>
      <c r="H151" s="17">
        <v>0</v>
      </c>
      <c r="I151" s="17">
        <v>0</v>
      </c>
      <c r="J151" s="16">
        <f>F151*(G151+ (G151= 0))*(H151+ (H151= 0))*(I151+ (I151= 0))</f>
        <v>0</v>
      </c>
      <c r="K151" s="11"/>
      <c r="L151" s="11"/>
      <c r="M151" s="11"/>
    </row>
    <row r="152" spans="1:13" x14ac:dyDescent="0.25">
      <c r="A152" s="11"/>
      <c r="B152" s="11"/>
      <c r="C152" s="11"/>
      <c r="D152" s="14"/>
      <c r="E152" s="15" t="s">
        <v>107</v>
      </c>
      <c r="F152" s="11">
        <v>0</v>
      </c>
      <c r="G152" s="17">
        <v>0</v>
      </c>
      <c r="H152" s="17">
        <v>0</v>
      </c>
      <c r="I152" s="17">
        <v>0</v>
      </c>
      <c r="J152" s="16">
        <f>F152*(G152+ (G152= 0))*(H152+ (H152= 0))*(I152+ (I152= 0))</f>
        <v>0</v>
      </c>
      <c r="K152" s="11"/>
      <c r="L152" s="11"/>
      <c r="M152" s="11"/>
    </row>
    <row r="153" spans="1:13" x14ac:dyDescent="0.25">
      <c r="A153" s="11"/>
      <c r="B153" s="11"/>
      <c r="C153" s="11"/>
      <c r="D153" s="14"/>
      <c r="E153" s="11"/>
      <c r="F153" s="11"/>
      <c r="G153" s="11"/>
      <c r="H153" s="11"/>
      <c r="I153" s="11"/>
      <c r="J153" s="18" t="s">
        <v>108</v>
      </c>
      <c r="K153" s="10">
        <f>SUM(J140:J152)</f>
        <v>13</v>
      </c>
      <c r="L153" s="17">
        <v>0</v>
      </c>
      <c r="M153" s="10">
        <f>ROUND(L153*K153,2)</f>
        <v>0</v>
      </c>
    </row>
    <row r="154" spans="1:13" x14ac:dyDescent="0.25">
      <c r="A154" s="19"/>
      <c r="B154" s="19"/>
      <c r="C154" s="19"/>
      <c r="D154" s="26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1:13" x14ac:dyDescent="0.25">
      <c r="A155" s="15" t="s">
        <v>109</v>
      </c>
      <c r="B155" s="15" t="s">
        <v>23</v>
      </c>
      <c r="C155" s="15" t="s">
        <v>18</v>
      </c>
      <c r="D155" s="25" t="s">
        <v>110</v>
      </c>
      <c r="E155" s="11"/>
      <c r="F155" s="11"/>
      <c r="G155" s="11"/>
      <c r="H155" s="11"/>
      <c r="I155" s="11"/>
      <c r="J155" s="11"/>
      <c r="K155" s="16">
        <f>K158</f>
        <v>13</v>
      </c>
      <c r="L155" s="16">
        <f>L158</f>
        <v>0</v>
      </c>
      <c r="M155" s="16">
        <f>M158</f>
        <v>0</v>
      </c>
    </row>
    <row r="156" spans="1:13" ht="33.75" x14ac:dyDescent="0.25">
      <c r="A156" s="11"/>
      <c r="B156" s="11"/>
      <c r="C156" s="11"/>
      <c r="D156" s="14" t="s">
        <v>111</v>
      </c>
      <c r="E156" s="11"/>
      <c r="F156" s="11"/>
      <c r="G156" s="11"/>
      <c r="H156" s="11"/>
      <c r="I156" s="11"/>
      <c r="J156" s="11"/>
      <c r="K156" s="11"/>
      <c r="L156" s="11"/>
      <c r="M156" s="11"/>
    </row>
    <row r="157" spans="1:13" x14ac:dyDescent="0.25">
      <c r="A157" s="11"/>
      <c r="B157" s="11"/>
      <c r="C157" s="11"/>
      <c r="D157" s="14"/>
      <c r="E157" s="15" t="s">
        <v>84</v>
      </c>
      <c r="F157" s="11">
        <v>13</v>
      </c>
      <c r="G157" s="17">
        <v>0</v>
      </c>
      <c r="H157" s="17">
        <v>0</v>
      </c>
      <c r="I157" s="17">
        <v>0</v>
      </c>
      <c r="J157" s="16">
        <f>F157*(G157+ (G157= 0))*(H157+ (H157= 0))*(I157+ (I157= 0))</f>
        <v>13</v>
      </c>
      <c r="K157" s="11"/>
      <c r="L157" s="11"/>
      <c r="M157" s="11"/>
    </row>
    <row r="158" spans="1:13" x14ac:dyDescent="0.25">
      <c r="A158" s="11"/>
      <c r="B158" s="11"/>
      <c r="C158" s="11"/>
      <c r="D158" s="14"/>
      <c r="E158" s="11"/>
      <c r="F158" s="11"/>
      <c r="G158" s="11"/>
      <c r="H158" s="11"/>
      <c r="I158" s="11"/>
      <c r="J158" s="18" t="s">
        <v>112</v>
      </c>
      <c r="K158" s="10">
        <f>SUM(J157:J157)</f>
        <v>13</v>
      </c>
      <c r="L158" s="17">
        <v>0</v>
      </c>
      <c r="M158" s="10">
        <f>ROUND(L158*K158,2)</f>
        <v>0</v>
      </c>
    </row>
    <row r="159" spans="1:13" x14ac:dyDescent="0.25">
      <c r="A159" s="19"/>
      <c r="B159" s="19"/>
      <c r="C159" s="19"/>
      <c r="D159" s="26"/>
      <c r="E159" s="19"/>
      <c r="F159" s="19"/>
      <c r="G159" s="19"/>
      <c r="H159" s="19"/>
      <c r="I159" s="19"/>
      <c r="J159" s="19"/>
      <c r="K159" s="19"/>
      <c r="L159" s="19"/>
      <c r="M159" s="19"/>
    </row>
    <row r="160" spans="1:13" x14ac:dyDescent="0.25">
      <c r="A160" s="15" t="s">
        <v>113</v>
      </c>
      <c r="B160" s="15" t="s">
        <v>23</v>
      </c>
      <c r="C160" s="15" t="s">
        <v>71</v>
      </c>
      <c r="D160" s="25" t="s">
        <v>114</v>
      </c>
      <c r="E160" s="11"/>
      <c r="F160" s="11"/>
      <c r="G160" s="11"/>
      <c r="H160" s="11"/>
      <c r="I160" s="11"/>
      <c r="J160" s="11"/>
      <c r="K160" s="16">
        <f>K178</f>
        <v>9440</v>
      </c>
      <c r="L160" s="16">
        <f>L178</f>
        <v>0</v>
      </c>
      <c r="M160" s="16">
        <f>M178</f>
        <v>0</v>
      </c>
    </row>
    <row r="161" spans="1:13" ht="45" x14ac:dyDescent="0.25">
      <c r="A161" s="11"/>
      <c r="B161" s="11"/>
      <c r="C161" s="11"/>
      <c r="D161" s="14" t="s">
        <v>115</v>
      </c>
      <c r="E161" s="11"/>
      <c r="F161" s="11"/>
      <c r="G161" s="11"/>
      <c r="H161" s="11"/>
      <c r="I161" s="11"/>
      <c r="J161" s="11"/>
      <c r="K161" s="11"/>
      <c r="L161" s="11"/>
      <c r="M161" s="11"/>
    </row>
    <row r="162" spans="1:13" x14ac:dyDescent="0.25">
      <c r="A162" s="11"/>
      <c r="B162" s="11"/>
      <c r="C162" s="11"/>
      <c r="D162" s="14"/>
      <c r="E162" s="15" t="s">
        <v>116</v>
      </c>
      <c r="F162" s="11">
        <v>132</v>
      </c>
      <c r="G162" s="17">
        <v>25</v>
      </c>
      <c r="H162" s="17">
        <v>0</v>
      </c>
      <c r="I162" s="17">
        <v>0</v>
      </c>
      <c r="J162" s="16">
        <f>F162*(G162+ (G162= 0))*(H162+ (H162= 0))*(I162+ (I162= 0))</f>
        <v>3300</v>
      </c>
      <c r="K162" s="11"/>
      <c r="L162" s="11"/>
      <c r="M162" s="11"/>
    </row>
    <row r="163" spans="1:13" x14ac:dyDescent="0.25">
      <c r="A163" s="11"/>
      <c r="B163" s="11"/>
      <c r="C163" s="11"/>
      <c r="D163" s="14"/>
      <c r="E163" s="15" t="s">
        <v>117</v>
      </c>
      <c r="F163" s="11">
        <v>132</v>
      </c>
      <c r="G163" s="17">
        <v>25</v>
      </c>
      <c r="H163" s="17">
        <v>0</v>
      </c>
      <c r="I163" s="17">
        <v>0</v>
      </c>
      <c r="J163" s="16">
        <f>F163*(G163+ (G163= 0))*(H163+ (H163= 0))*(I163+ (I163= 0))</f>
        <v>3300</v>
      </c>
      <c r="K163" s="11"/>
      <c r="L163" s="11"/>
      <c r="M163" s="11"/>
    </row>
    <row r="164" spans="1:13" x14ac:dyDescent="0.25">
      <c r="A164" s="11"/>
      <c r="B164" s="11"/>
      <c r="C164" s="11"/>
      <c r="D164" s="14"/>
      <c r="E164" s="15" t="s">
        <v>118</v>
      </c>
      <c r="F164" s="11">
        <v>132</v>
      </c>
      <c r="G164" s="17">
        <v>20</v>
      </c>
      <c r="H164" s="17">
        <v>0</v>
      </c>
      <c r="I164" s="17">
        <v>0</v>
      </c>
      <c r="J164" s="16">
        <f>F164*(G164+ (G164= 0))*(H164+ (H164= 0))*(I164+ (I164= 0))</f>
        <v>2640</v>
      </c>
      <c r="K164" s="11"/>
      <c r="L164" s="11"/>
      <c r="M164" s="11"/>
    </row>
    <row r="165" spans="1:13" x14ac:dyDescent="0.25">
      <c r="A165" s="11"/>
      <c r="B165" s="11"/>
      <c r="C165" s="11"/>
      <c r="D165" s="14"/>
      <c r="E165" s="15" t="s">
        <v>97</v>
      </c>
      <c r="F165" s="11">
        <v>0</v>
      </c>
      <c r="G165" s="17">
        <v>0</v>
      </c>
      <c r="H165" s="17">
        <v>0</v>
      </c>
      <c r="I165" s="17">
        <v>0</v>
      </c>
      <c r="J165" s="16">
        <f>F165*(G165+ (G165= 0))*(H165+ (H165= 0))*(I165+ (I165= 0))</f>
        <v>0</v>
      </c>
      <c r="K165" s="11"/>
      <c r="L165" s="11"/>
      <c r="M165" s="11"/>
    </row>
    <row r="166" spans="1:13" x14ac:dyDescent="0.25">
      <c r="A166" s="11"/>
      <c r="B166" s="11"/>
      <c r="C166" s="11"/>
      <c r="D166" s="14"/>
      <c r="E166" s="15" t="s">
        <v>98</v>
      </c>
      <c r="F166" s="11">
        <v>1</v>
      </c>
      <c r="G166" s="17">
        <v>15</v>
      </c>
      <c r="H166" s="17">
        <v>0</v>
      </c>
      <c r="I166" s="17">
        <v>0</v>
      </c>
      <c r="J166" s="16">
        <f>F166*(G166+ (G166= 0))*(H166+ (H166= 0))*(I166+ (I166= 0))</f>
        <v>15</v>
      </c>
      <c r="K166" s="11"/>
      <c r="L166" s="11"/>
      <c r="M166" s="11"/>
    </row>
    <row r="167" spans="1:13" x14ac:dyDescent="0.25">
      <c r="A167" s="11"/>
      <c r="B167" s="11"/>
      <c r="C167" s="11"/>
      <c r="D167" s="14"/>
      <c r="E167" s="15" t="s">
        <v>99</v>
      </c>
      <c r="F167" s="11">
        <v>1</v>
      </c>
      <c r="G167" s="17">
        <v>15</v>
      </c>
      <c r="H167" s="17">
        <v>0</v>
      </c>
      <c r="I167" s="17">
        <v>0</v>
      </c>
      <c r="J167" s="16">
        <f>F167*(G167+ (G167= 0))*(H167+ (H167= 0))*(I167+ (I167= 0))</f>
        <v>15</v>
      </c>
      <c r="K167" s="11"/>
      <c r="L167" s="11"/>
      <c r="M167" s="11"/>
    </row>
    <row r="168" spans="1:13" x14ac:dyDescent="0.25">
      <c r="A168" s="11"/>
      <c r="B168" s="11"/>
      <c r="C168" s="11"/>
      <c r="D168" s="14"/>
      <c r="E168" s="15" t="s">
        <v>100</v>
      </c>
      <c r="F168" s="11">
        <v>1</v>
      </c>
      <c r="G168" s="17">
        <v>15</v>
      </c>
      <c r="H168" s="17">
        <v>0</v>
      </c>
      <c r="I168" s="17">
        <v>0</v>
      </c>
      <c r="J168" s="16">
        <f>F168*(G168+ (G168= 0))*(H168+ (H168= 0))*(I168+ (I168= 0))</f>
        <v>15</v>
      </c>
      <c r="K168" s="11"/>
      <c r="L168" s="11"/>
      <c r="M168" s="11"/>
    </row>
    <row r="169" spans="1:13" x14ac:dyDescent="0.25">
      <c r="A169" s="11"/>
      <c r="B169" s="11"/>
      <c r="C169" s="11"/>
      <c r="D169" s="14"/>
      <c r="E169" s="15" t="s">
        <v>101</v>
      </c>
      <c r="F169" s="11">
        <v>2</v>
      </c>
      <c r="G169" s="17">
        <v>15</v>
      </c>
      <c r="H169" s="17">
        <v>0</v>
      </c>
      <c r="I169" s="17">
        <v>0</v>
      </c>
      <c r="J169" s="16">
        <f>F169*(G169+ (G169= 0))*(H169+ (H169= 0))*(I169+ (I169= 0))</f>
        <v>30</v>
      </c>
      <c r="K169" s="11"/>
      <c r="L169" s="11"/>
      <c r="M169" s="11"/>
    </row>
    <row r="170" spans="1:13" x14ac:dyDescent="0.25">
      <c r="A170" s="11"/>
      <c r="B170" s="11"/>
      <c r="C170" s="11"/>
      <c r="D170" s="14"/>
      <c r="E170" s="15" t="s">
        <v>102</v>
      </c>
      <c r="F170" s="11">
        <v>1</v>
      </c>
      <c r="G170" s="17">
        <v>15</v>
      </c>
      <c r="H170" s="17">
        <v>0</v>
      </c>
      <c r="I170" s="17">
        <v>0</v>
      </c>
      <c r="J170" s="16">
        <f>F170*(G170+ (G170= 0))*(H170+ (H170= 0))*(I170+ (I170= 0))</f>
        <v>15</v>
      </c>
      <c r="K170" s="11"/>
      <c r="L170" s="11"/>
      <c r="M170" s="11"/>
    </row>
    <row r="171" spans="1:13" x14ac:dyDescent="0.25">
      <c r="A171" s="11"/>
      <c r="B171" s="11"/>
      <c r="C171" s="11"/>
      <c r="D171" s="14"/>
      <c r="E171" s="15" t="s">
        <v>103</v>
      </c>
      <c r="F171" s="11">
        <v>4</v>
      </c>
      <c r="G171" s="17">
        <v>15</v>
      </c>
      <c r="H171" s="17">
        <v>0</v>
      </c>
      <c r="I171" s="17">
        <v>0</v>
      </c>
      <c r="J171" s="16">
        <f>F171*(G171+ (G171= 0))*(H171+ (H171= 0))*(I171+ (I171= 0))</f>
        <v>60</v>
      </c>
      <c r="K171" s="11"/>
      <c r="L171" s="11"/>
      <c r="M171" s="11"/>
    </row>
    <row r="172" spans="1:13" x14ac:dyDescent="0.25">
      <c r="A172" s="11"/>
      <c r="B172" s="11"/>
      <c r="C172" s="11"/>
      <c r="D172" s="14"/>
      <c r="E172" s="15" t="s">
        <v>104</v>
      </c>
      <c r="F172" s="11">
        <v>2</v>
      </c>
      <c r="G172" s="17">
        <v>20</v>
      </c>
      <c r="H172" s="17">
        <v>0</v>
      </c>
      <c r="I172" s="17">
        <v>0</v>
      </c>
      <c r="J172" s="16">
        <f>F172*(G172+ (G172= 0))*(H172+ (H172= 0))*(I172+ (I172= 0))</f>
        <v>40</v>
      </c>
      <c r="K172" s="11"/>
      <c r="L172" s="11"/>
      <c r="M172" s="11"/>
    </row>
    <row r="173" spans="1:13" x14ac:dyDescent="0.25">
      <c r="A173" s="11"/>
      <c r="B173" s="11"/>
      <c r="C173" s="11"/>
      <c r="D173" s="14"/>
      <c r="E173" s="15" t="s">
        <v>103</v>
      </c>
      <c r="F173" s="11">
        <v>0</v>
      </c>
      <c r="G173" s="17">
        <v>0</v>
      </c>
      <c r="H173" s="17">
        <v>0</v>
      </c>
      <c r="I173" s="17">
        <v>0</v>
      </c>
      <c r="J173" s="16">
        <f>F173*(G173+ (G173= 0))*(H173+ (H173= 0))*(I173+ (I173= 0))</f>
        <v>0</v>
      </c>
      <c r="K173" s="11"/>
      <c r="L173" s="11"/>
      <c r="M173" s="11"/>
    </row>
    <row r="174" spans="1:13" x14ac:dyDescent="0.25">
      <c r="A174" s="11"/>
      <c r="B174" s="11"/>
      <c r="C174" s="11"/>
      <c r="D174" s="14"/>
      <c r="E174" s="15" t="s">
        <v>105</v>
      </c>
      <c r="F174" s="11">
        <v>1</v>
      </c>
      <c r="G174" s="17">
        <v>10</v>
      </c>
      <c r="H174" s="17">
        <v>0</v>
      </c>
      <c r="I174" s="17">
        <v>0</v>
      </c>
      <c r="J174" s="16">
        <f>F174*(G174+ (G174= 0))*(H174+ (H174= 0))*(I174+ (I174= 0))</f>
        <v>10</v>
      </c>
      <c r="K174" s="11"/>
      <c r="L174" s="11"/>
      <c r="M174" s="11"/>
    </row>
    <row r="175" spans="1:13" x14ac:dyDescent="0.25">
      <c r="A175" s="11"/>
      <c r="B175" s="11"/>
      <c r="C175" s="11"/>
      <c r="D175" s="14"/>
      <c r="E175" s="15" t="s">
        <v>106</v>
      </c>
      <c r="F175" s="11">
        <v>0</v>
      </c>
      <c r="G175" s="17">
        <v>0</v>
      </c>
      <c r="H175" s="17">
        <v>0</v>
      </c>
      <c r="I175" s="17">
        <v>0</v>
      </c>
      <c r="J175" s="16">
        <f>F175*(G175+ (G175= 0))*(H175+ (H175= 0))*(I175+ (I175= 0))</f>
        <v>0</v>
      </c>
      <c r="K175" s="11"/>
      <c r="L175" s="11"/>
      <c r="M175" s="11"/>
    </row>
    <row r="176" spans="1:13" x14ac:dyDescent="0.25">
      <c r="A176" s="11"/>
      <c r="B176" s="11"/>
      <c r="C176" s="11"/>
      <c r="D176" s="14"/>
      <c r="E176" s="15" t="s">
        <v>105</v>
      </c>
      <c r="F176" s="11">
        <v>0</v>
      </c>
      <c r="G176" s="17">
        <v>0</v>
      </c>
      <c r="H176" s="17">
        <v>0</v>
      </c>
      <c r="I176" s="17">
        <v>0</v>
      </c>
      <c r="J176" s="16">
        <f>F176*(G176+ (G176= 0))*(H176+ (H176= 0))*(I176+ (I176= 0))</f>
        <v>0</v>
      </c>
      <c r="K176" s="11"/>
      <c r="L176" s="11"/>
      <c r="M176" s="11"/>
    </row>
    <row r="177" spans="1:13" x14ac:dyDescent="0.25">
      <c r="A177" s="11"/>
      <c r="B177" s="11"/>
      <c r="C177" s="11"/>
      <c r="D177" s="14"/>
      <c r="E177" s="15" t="s">
        <v>107</v>
      </c>
      <c r="F177" s="11">
        <v>0</v>
      </c>
      <c r="G177" s="17">
        <v>0</v>
      </c>
      <c r="H177" s="17">
        <v>0</v>
      </c>
      <c r="I177" s="17">
        <v>0</v>
      </c>
      <c r="J177" s="16">
        <f>F177*(G177+ (G177= 0))*(H177+ (H177= 0))*(I177+ (I177= 0))</f>
        <v>0</v>
      </c>
      <c r="K177" s="11"/>
      <c r="L177" s="11"/>
      <c r="M177" s="11"/>
    </row>
    <row r="178" spans="1:13" x14ac:dyDescent="0.25">
      <c r="A178" s="11"/>
      <c r="B178" s="11"/>
      <c r="C178" s="11"/>
      <c r="D178" s="14"/>
      <c r="E178" s="11"/>
      <c r="F178" s="11"/>
      <c r="G178" s="11"/>
      <c r="H178" s="11"/>
      <c r="I178" s="11"/>
      <c r="J178" s="18" t="s">
        <v>119</v>
      </c>
      <c r="K178" s="10">
        <f>SUM(J162:J177)</f>
        <v>9440</v>
      </c>
      <c r="L178" s="17">
        <v>0</v>
      </c>
      <c r="M178" s="10">
        <f>ROUND(L178*K178,2)</f>
        <v>0</v>
      </c>
    </row>
    <row r="179" spans="1:13" x14ac:dyDescent="0.25">
      <c r="A179" s="19"/>
      <c r="B179" s="19"/>
      <c r="C179" s="19"/>
      <c r="D179" s="26"/>
      <c r="E179" s="19"/>
      <c r="F179" s="19"/>
      <c r="G179" s="19"/>
      <c r="H179" s="19"/>
      <c r="I179" s="19"/>
      <c r="J179" s="19"/>
      <c r="K179" s="19"/>
      <c r="L179" s="19"/>
      <c r="M179" s="19"/>
    </row>
    <row r="180" spans="1:13" x14ac:dyDescent="0.25">
      <c r="A180" s="15" t="s">
        <v>120</v>
      </c>
      <c r="B180" s="15" t="s">
        <v>23</v>
      </c>
      <c r="C180" s="15" t="s">
        <v>71</v>
      </c>
      <c r="D180" s="25" t="s">
        <v>121</v>
      </c>
      <c r="E180" s="11"/>
      <c r="F180" s="11"/>
      <c r="G180" s="11"/>
      <c r="H180" s="11"/>
      <c r="I180" s="11"/>
      <c r="J180" s="11"/>
      <c r="K180" s="16">
        <f>K183</f>
        <v>9440</v>
      </c>
      <c r="L180" s="16">
        <f>L183</f>
        <v>0</v>
      </c>
      <c r="M180" s="16">
        <f>M183</f>
        <v>0</v>
      </c>
    </row>
    <row r="181" spans="1:13" ht="33.75" x14ac:dyDescent="0.25">
      <c r="A181" s="11"/>
      <c r="B181" s="11"/>
      <c r="C181" s="11"/>
      <c r="D181" s="14" t="s">
        <v>189</v>
      </c>
      <c r="E181" s="11"/>
      <c r="F181" s="11"/>
      <c r="G181" s="11"/>
      <c r="H181" s="11"/>
      <c r="I181" s="11"/>
      <c r="J181" s="11"/>
      <c r="K181" s="11"/>
      <c r="L181" s="11"/>
      <c r="M181" s="11"/>
    </row>
    <row r="182" spans="1:13" x14ac:dyDescent="0.25">
      <c r="A182" s="11"/>
      <c r="B182" s="11"/>
      <c r="C182" s="11"/>
      <c r="D182" s="14"/>
      <c r="E182" s="15" t="s">
        <v>84</v>
      </c>
      <c r="F182" s="11">
        <v>9440</v>
      </c>
      <c r="G182" s="17">
        <v>0</v>
      </c>
      <c r="H182" s="17">
        <v>0</v>
      </c>
      <c r="I182" s="17">
        <v>0</v>
      </c>
      <c r="J182" s="16">
        <f>F182*(G182+ (G182= 0))*(H182+ (H182= 0))*(I182+ (I182= 0))</f>
        <v>9440</v>
      </c>
      <c r="K182" s="11"/>
      <c r="L182" s="11"/>
      <c r="M182" s="11"/>
    </row>
    <row r="183" spans="1:13" x14ac:dyDescent="0.25">
      <c r="A183" s="11"/>
      <c r="B183" s="11"/>
      <c r="C183" s="11"/>
      <c r="D183" s="14"/>
      <c r="E183" s="11"/>
      <c r="F183" s="11"/>
      <c r="G183" s="11"/>
      <c r="H183" s="11"/>
      <c r="I183" s="11"/>
      <c r="J183" s="18" t="s">
        <v>122</v>
      </c>
      <c r="K183" s="10">
        <f>SUM(J182:J182)</f>
        <v>9440</v>
      </c>
      <c r="L183" s="17">
        <v>0</v>
      </c>
      <c r="M183" s="10">
        <f>ROUND(L183*K183,2)</f>
        <v>0</v>
      </c>
    </row>
    <row r="184" spans="1:13" x14ac:dyDescent="0.25">
      <c r="A184" s="19"/>
      <c r="B184" s="19"/>
      <c r="C184" s="19"/>
      <c r="D184" s="26"/>
      <c r="E184" s="19"/>
      <c r="F184" s="19"/>
      <c r="G184" s="19"/>
      <c r="H184" s="19"/>
      <c r="I184" s="19"/>
      <c r="J184" s="19"/>
      <c r="K184" s="19"/>
      <c r="L184" s="19"/>
      <c r="M184" s="19"/>
    </row>
    <row r="185" spans="1:13" x14ac:dyDescent="0.25">
      <c r="A185" s="15" t="s">
        <v>123</v>
      </c>
      <c r="B185" s="15" t="s">
        <v>23</v>
      </c>
      <c r="C185" s="15" t="s">
        <v>18</v>
      </c>
      <c r="D185" s="25" t="s">
        <v>124</v>
      </c>
      <c r="E185" s="11"/>
      <c r="F185" s="11"/>
      <c r="G185" s="11"/>
      <c r="H185" s="11"/>
      <c r="I185" s="11"/>
      <c r="J185" s="11"/>
      <c r="K185" s="16">
        <f>K203</f>
        <v>409</v>
      </c>
      <c r="L185" s="16">
        <f>L203</f>
        <v>0</v>
      </c>
      <c r="M185" s="16">
        <f>M203</f>
        <v>0</v>
      </c>
    </row>
    <row r="186" spans="1:13" ht="22.5" x14ac:dyDescent="0.25">
      <c r="A186" s="11"/>
      <c r="B186" s="11"/>
      <c r="C186" s="11"/>
      <c r="D186" s="14" t="s">
        <v>125</v>
      </c>
      <c r="E186" s="11"/>
      <c r="F186" s="11"/>
      <c r="G186" s="11"/>
      <c r="H186" s="11"/>
      <c r="I186" s="11"/>
      <c r="J186" s="11"/>
      <c r="K186" s="11"/>
      <c r="L186" s="11"/>
      <c r="M186" s="11"/>
    </row>
    <row r="187" spans="1:13" x14ac:dyDescent="0.25">
      <c r="A187" s="11"/>
      <c r="B187" s="11"/>
      <c r="C187" s="11"/>
      <c r="D187" s="14"/>
      <c r="E187" s="15" t="s">
        <v>126</v>
      </c>
      <c r="F187" s="11">
        <v>132</v>
      </c>
      <c r="G187" s="17">
        <v>0</v>
      </c>
      <c r="H187" s="17">
        <v>0</v>
      </c>
      <c r="I187" s="17">
        <v>0</v>
      </c>
      <c r="J187" s="16">
        <f>F187*(G187+ (G187= 0))*(H187+ (H187= 0))*(I187+ (I187= 0))</f>
        <v>132</v>
      </c>
      <c r="K187" s="11"/>
      <c r="L187" s="11"/>
      <c r="M187" s="11"/>
    </row>
    <row r="188" spans="1:13" x14ac:dyDescent="0.25">
      <c r="A188" s="11"/>
      <c r="B188" s="11"/>
      <c r="C188" s="11"/>
      <c r="D188" s="14"/>
      <c r="E188" s="15" t="s">
        <v>127</v>
      </c>
      <c r="F188" s="11">
        <v>132</v>
      </c>
      <c r="G188" s="17">
        <v>0</v>
      </c>
      <c r="H188" s="17">
        <v>0</v>
      </c>
      <c r="I188" s="17">
        <v>0</v>
      </c>
      <c r="J188" s="16">
        <f>F188*(G188+ (G188= 0))*(H188+ (H188= 0))*(I188+ (I188= 0))</f>
        <v>132</v>
      </c>
      <c r="K188" s="11"/>
      <c r="L188" s="11"/>
      <c r="M188" s="11"/>
    </row>
    <row r="189" spans="1:13" x14ac:dyDescent="0.25">
      <c r="A189" s="11"/>
      <c r="B189" s="11"/>
      <c r="C189" s="11"/>
      <c r="D189" s="14"/>
      <c r="E189" s="15" t="s">
        <v>128</v>
      </c>
      <c r="F189" s="11">
        <v>132</v>
      </c>
      <c r="G189" s="17">
        <v>0</v>
      </c>
      <c r="H189" s="17">
        <v>0</v>
      </c>
      <c r="I189" s="17">
        <v>0</v>
      </c>
      <c r="J189" s="16">
        <f>F189*(G189+ (G189= 0))*(H189+ (H189= 0))*(I189+ (I189= 0))</f>
        <v>132</v>
      </c>
      <c r="K189" s="11"/>
      <c r="L189" s="11"/>
      <c r="M189" s="11"/>
    </row>
    <row r="190" spans="1:13" x14ac:dyDescent="0.25">
      <c r="A190" s="11"/>
      <c r="B190" s="11"/>
      <c r="C190" s="11"/>
      <c r="D190" s="14"/>
      <c r="E190" s="15" t="s">
        <v>97</v>
      </c>
      <c r="F190" s="11">
        <v>0</v>
      </c>
      <c r="G190" s="17">
        <v>0</v>
      </c>
      <c r="H190" s="17">
        <v>0</v>
      </c>
      <c r="I190" s="17">
        <v>0</v>
      </c>
      <c r="J190" s="16">
        <f>F190*(G190+ (G190= 0))*(H190+ (H190= 0))*(I190+ (I190= 0))</f>
        <v>0</v>
      </c>
      <c r="K190" s="11"/>
      <c r="L190" s="11"/>
      <c r="M190" s="11"/>
    </row>
    <row r="191" spans="1:13" x14ac:dyDescent="0.25">
      <c r="A191" s="11"/>
      <c r="B191" s="11"/>
      <c r="C191" s="11"/>
      <c r="D191" s="14"/>
      <c r="E191" s="15" t="s">
        <v>98</v>
      </c>
      <c r="F191" s="11">
        <v>1</v>
      </c>
      <c r="G191" s="17">
        <v>0</v>
      </c>
      <c r="H191" s="17">
        <v>0</v>
      </c>
      <c r="I191" s="17">
        <v>0</v>
      </c>
      <c r="J191" s="16">
        <f>F191*(G191+ (G191= 0))*(H191+ (H191= 0))*(I191+ (I191= 0))</f>
        <v>1</v>
      </c>
      <c r="K191" s="11"/>
      <c r="L191" s="11"/>
      <c r="M191" s="11"/>
    </row>
    <row r="192" spans="1:13" x14ac:dyDescent="0.25">
      <c r="A192" s="11"/>
      <c r="B192" s="11"/>
      <c r="C192" s="11"/>
      <c r="D192" s="14"/>
      <c r="E192" s="15" t="s">
        <v>99</v>
      </c>
      <c r="F192" s="11">
        <v>1</v>
      </c>
      <c r="G192" s="17">
        <v>0</v>
      </c>
      <c r="H192" s="17">
        <v>0</v>
      </c>
      <c r="I192" s="17">
        <v>0</v>
      </c>
      <c r="J192" s="16">
        <f>F192*(G192+ (G192= 0))*(H192+ (H192= 0))*(I192+ (I192= 0))</f>
        <v>1</v>
      </c>
      <c r="K192" s="11"/>
      <c r="L192" s="11"/>
      <c r="M192" s="11"/>
    </row>
    <row r="193" spans="1:13" x14ac:dyDescent="0.25">
      <c r="A193" s="11"/>
      <c r="B193" s="11"/>
      <c r="C193" s="11"/>
      <c r="D193" s="14"/>
      <c r="E193" s="15" t="s">
        <v>100</v>
      </c>
      <c r="F193" s="11">
        <v>1</v>
      </c>
      <c r="G193" s="17">
        <v>0</v>
      </c>
      <c r="H193" s="17">
        <v>0</v>
      </c>
      <c r="I193" s="17">
        <v>0</v>
      </c>
      <c r="J193" s="16">
        <f>F193*(G193+ (G193= 0))*(H193+ (H193= 0))*(I193+ (I193= 0))</f>
        <v>1</v>
      </c>
      <c r="K193" s="11"/>
      <c r="L193" s="11"/>
      <c r="M193" s="11"/>
    </row>
    <row r="194" spans="1:13" x14ac:dyDescent="0.25">
      <c r="A194" s="11"/>
      <c r="B194" s="11"/>
      <c r="C194" s="11"/>
      <c r="D194" s="14"/>
      <c r="E194" s="15" t="s">
        <v>101</v>
      </c>
      <c r="F194" s="11">
        <v>2</v>
      </c>
      <c r="G194" s="17">
        <v>0</v>
      </c>
      <c r="H194" s="17">
        <v>0</v>
      </c>
      <c r="I194" s="17">
        <v>0</v>
      </c>
      <c r="J194" s="16">
        <f>F194*(G194+ (G194= 0))*(H194+ (H194= 0))*(I194+ (I194= 0))</f>
        <v>2</v>
      </c>
      <c r="K194" s="11"/>
      <c r="L194" s="11"/>
      <c r="M194" s="11"/>
    </row>
    <row r="195" spans="1:13" x14ac:dyDescent="0.25">
      <c r="A195" s="11"/>
      <c r="B195" s="11"/>
      <c r="C195" s="11"/>
      <c r="D195" s="14"/>
      <c r="E195" s="15" t="s">
        <v>102</v>
      </c>
      <c r="F195" s="11">
        <v>1</v>
      </c>
      <c r="G195" s="17">
        <v>0</v>
      </c>
      <c r="H195" s="17">
        <v>0</v>
      </c>
      <c r="I195" s="17">
        <v>0</v>
      </c>
      <c r="J195" s="16">
        <f>F195*(G195+ (G195= 0))*(H195+ (H195= 0))*(I195+ (I195= 0))</f>
        <v>1</v>
      </c>
      <c r="K195" s="11"/>
      <c r="L195" s="11"/>
      <c r="M195" s="11"/>
    </row>
    <row r="196" spans="1:13" x14ac:dyDescent="0.25">
      <c r="A196" s="11"/>
      <c r="B196" s="11"/>
      <c r="C196" s="11"/>
      <c r="D196" s="14"/>
      <c r="E196" s="15" t="s">
        <v>103</v>
      </c>
      <c r="F196" s="11">
        <v>4</v>
      </c>
      <c r="G196" s="17">
        <v>0</v>
      </c>
      <c r="H196" s="17">
        <v>0</v>
      </c>
      <c r="I196" s="17">
        <v>0</v>
      </c>
      <c r="J196" s="16">
        <f>F196*(G196+ (G196= 0))*(H196+ (H196= 0))*(I196+ (I196= 0))</f>
        <v>4</v>
      </c>
      <c r="K196" s="11"/>
      <c r="L196" s="11"/>
      <c r="M196" s="11"/>
    </row>
    <row r="197" spans="1:13" x14ac:dyDescent="0.25">
      <c r="A197" s="11"/>
      <c r="B197" s="11"/>
      <c r="C197" s="11"/>
      <c r="D197" s="14"/>
      <c r="E197" s="15" t="s">
        <v>104</v>
      </c>
      <c r="F197" s="11">
        <v>2</v>
      </c>
      <c r="G197" s="17">
        <v>0</v>
      </c>
      <c r="H197" s="17">
        <v>0</v>
      </c>
      <c r="I197" s="17">
        <v>0</v>
      </c>
      <c r="J197" s="16">
        <f>F197*(G197+ (G197= 0))*(H197+ (H197= 0))*(I197+ (I197= 0))</f>
        <v>2</v>
      </c>
      <c r="K197" s="11"/>
      <c r="L197" s="11"/>
      <c r="M197" s="11"/>
    </row>
    <row r="198" spans="1:13" x14ac:dyDescent="0.25">
      <c r="A198" s="11"/>
      <c r="B198" s="11"/>
      <c r="C198" s="11"/>
      <c r="D198" s="14"/>
      <c r="E198" s="15" t="s">
        <v>103</v>
      </c>
      <c r="F198" s="11">
        <v>0</v>
      </c>
      <c r="G198" s="17">
        <v>0</v>
      </c>
      <c r="H198" s="17">
        <v>0</v>
      </c>
      <c r="I198" s="17">
        <v>0</v>
      </c>
      <c r="J198" s="16">
        <f>F198*(G198+ (G198= 0))*(H198+ (H198= 0))*(I198+ (I198= 0))</f>
        <v>0</v>
      </c>
      <c r="K198" s="11"/>
      <c r="L198" s="11"/>
      <c r="M198" s="11"/>
    </row>
    <row r="199" spans="1:13" x14ac:dyDescent="0.25">
      <c r="A199" s="11"/>
      <c r="B199" s="11"/>
      <c r="C199" s="11"/>
      <c r="D199" s="14"/>
      <c r="E199" s="15" t="s">
        <v>105</v>
      </c>
      <c r="F199" s="11">
        <v>1</v>
      </c>
      <c r="G199" s="17">
        <v>0</v>
      </c>
      <c r="H199" s="17">
        <v>0</v>
      </c>
      <c r="I199" s="17">
        <v>0</v>
      </c>
      <c r="J199" s="16">
        <f>F199*(G199+ (G199= 0))*(H199+ (H199= 0))*(I199+ (I199= 0))</f>
        <v>1</v>
      </c>
      <c r="K199" s="11"/>
      <c r="L199" s="11"/>
      <c r="M199" s="11"/>
    </row>
    <row r="200" spans="1:13" x14ac:dyDescent="0.25">
      <c r="A200" s="11"/>
      <c r="B200" s="11"/>
      <c r="C200" s="11"/>
      <c r="D200" s="14"/>
      <c r="E200" s="15" t="s">
        <v>129</v>
      </c>
      <c r="F200" s="11">
        <v>0</v>
      </c>
      <c r="G200" s="17">
        <v>0</v>
      </c>
      <c r="H200" s="17">
        <v>0</v>
      </c>
      <c r="I200" s="17">
        <v>0</v>
      </c>
      <c r="J200" s="16">
        <f>F200*(G200+ (G200= 0))*(H200+ (H200= 0))*(I200+ (I200= 0))</f>
        <v>0</v>
      </c>
      <c r="K200" s="11"/>
      <c r="L200" s="11"/>
      <c r="M200" s="11"/>
    </row>
    <row r="201" spans="1:13" x14ac:dyDescent="0.25">
      <c r="A201" s="11"/>
      <c r="B201" s="11"/>
      <c r="C201" s="11"/>
      <c r="D201" s="14"/>
      <c r="E201" s="15" t="s">
        <v>105</v>
      </c>
      <c r="F201" s="11">
        <v>0</v>
      </c>
      <c r="G201" s="17">
        <v>0</v>
      </c>
      <c r="H201" s="17">
        <v>0</v>
      </c>
      <c r="I201" s="17">
        <v>0</v>
      </c>
      <c r="J201" s="16">
        <f>F201*(G201+ (G201= 0))*(H201+ (H201= 0))*(I201+ (I201= 0))</f>
        <v>0</v>
      </c>
      <c r="K201" s="11"/>
      <c r="L201" s="11"/>
      <c r="M201" s="11"/>
    </row>
    <row r="202" spans="1:13" x14ac:dyDescent="0.25">
      <c r="A202" s="11"/>
      <c r="B202" s="11"/>
      <c r="C202" s="11"/>
      <c r="D202" s="14"/>
      <c r="E202" s="15" t="s">
        <v>107</v>
      </c>
      <c r="F202" s="11">
        <v>0</v>
      </c>
      <c r="G202" s="17">
        <v>0</v>
      </c>
      <c r="H202" s="17">
        <v>0</v>
      </c>
      <c r="I202" s="17">
        <v>0</v>
      </c>
      <c r="J202" s="16">
        <f>F202*(G202+ (G202= 0))*(H202+ (H202= 0))*(I202+ (I202= 0))</f>
        <v>0</v>
      </c>
      <c r="K202" s="11"/>
      <c r="L202" s="11"/>
      <c r="M202" s="11"/>
    </row>
    <row r="203" spans="1:13" x14ac:dyDescent="0.25">
      <c r="A203" s="11"/>
      <c r="B203" s="11"/>
      <c r="C203" s="11"/>
      <c r="D203" s="14"/>
      <c r="E203" s="11"/>
      <c r="F203" s="11"/>
      <c r="G203" s="11"/>
      <c r="H203" s="11"/>
      <c r="I203" s="11"/>
      <c r="J203" s="18" t="s">
        <v>130</v>
      </c>
      <c r="K203" s="10">
        <f>SUM(J187:J202)</f>
        <v>409</v>
      </c>
      <c r="L203" s="17">
        <v>0</v>
      </c>
      <c r="M203" s="10">
        <f>ROUND(L203*K203,2)</f>
        <v>0</v>
      </c>
    </row>
    <row r="204" spans="1:13" x14ac:dyDescent="0.25">
      <c r="A204" s="19"/>
      <c r="B204" s="19"/>
      <c r="C204" s="19"/>
      <c r="D204" s="26"/>
      <c r="E204" s="19"/>
      <c r="F204" s="19"/>
      <c r="G204" s="19"/>
      <c r="H204" s="19"/>
      <c r="I204" s="19"/>
      <c r="J204" s="19"/>
      <c r="K204" s="19"/>
      <c r="L204" s="19"/>
      <c r="M204" s="19"/>
    </row>
    <row r="205" spans="1:13" x14ac:dyDescent="0.25">
      <c r="A205" s="15" t="s">
        <v>131</v>
      </c>
      <c r="B205" s="15" t="s">
        <v>23</v>
      </c>
      <c r="C205" s="15" t="s">
        <v>18</v>
      </c>
      <c r="D205" s="25" t="s">
        <v>132</v>
      </c>
      <c r="E205" s="11"/>
      <c r="F205" s="11"/>
      <c r="G205" s="11"/>
      <c r="H205" s="11"/>
      <c r="I205" s="11"/>
      <c r="J205" s="11"/>
      <c r="K205" s="16">
        <f>K223</f>
        <v>409</v>
      </c>
      <c r="L205" s="16">
        <f>L223</f>
        <v>0</v>
      </c>
      <c r="M205" s="16">
        <f>M223</f>
        <v>0</v>
      </c>
    </row>
    <row r="206" spans="1:13" ht="45" x14ac:dyDescent="0.25">
      <c r="A206" s="11"/>
      <c r="B206" s="11"/>
      <c r="C206" s="11"/>
      <c r="D206" s="14" t="s">
        <v>133</v>
      </c>
      <c r="E206" s="11"/>
      <c r="F206" s="11"/>
      <c r="G206" s="11"/>
      <c r="H206" s="11"/>
      <c r="I206" s="11"/>
      <c r="J206" s="11"/>
      <c r="K206" s="11"/>
      <c r="L206" s="11"/>
      <c r="M206" s="11"/>
    </row>
    <row r="207" spans="1:13" x14ac:dyDescent="0.25">
      <c r="A207" s="11"/>
      <c r="B207" s="11"/>
      <c r="C207" s="11"/>
      <c r="D207" s="14"/>
      <c r="E207" s="15" t="s">
        <v>134</v>
      </c>
      <c r="F207" s="11">
        <v>132</v>
      </c>
      <c r="G207" s="17">
        <v>0</v>
      </c>
      <c r="H207" s="17">
        <v>0</v>
      </c>
      <c r="I207" s="17">
        <v>0</v>
      </c>
      <c r="J207" s="16">
        <f>F207*(G207+ (G207= 0))*(H207+ (H207= 0))*(I207+ (I207= 0))</f>
        <v>132</v>
      </c>
      <c r="K207" s="11"/>
      <c r="L207" s="11"/>
      <c r="M207" s="11"/>
    </row>
    <row r="208" spans="1:13" x14ac:dyDescent="0.25">
      <c r="A208" s="11"/>
      <c r="B208" s="11"/>
      <c r="C208" s="11"/>
      <c r="D208" s="14"/>
      <c r="E208" s="15" t="s">
        <v>135</v>
      </c>
      <c r="F208" s="11">
        <v>132</v>
      </c>
      <c r="G208" s="17">
        <v>0</v>
      </c>
      <c r="H208" s="17">
        <v>0</v>
      </c>
      <c r="I208" s="17">
        <v>0</v>
      </c>
      <c r="J208" s="16">
        <f>F208*(G208+ (G208= 0))*(H208+ (H208= 0))*(I208+ (I208= 0))</f>
        <v>132</v>
      </c>
      <c r="K208" s="11"/>
      <c r="L208" s="11"/>
      <c r="M208" s="11"/>
    </row>
    <row r="209" spans="1:13" x14ac:dyDescent="0.25">
      <c r="A209" s="11"/>
      <c r="B209" s="11"/>
      <c r="C209" s="11"/>
      <c r="D209" s="14"/>
      <c r="E209" s="15" t="s">
        <v>128</v>
      </c>
      <c r="F209" s="11">
        <v>132</v>
      </c>
      <c r="G209" s="17">
        <v>0</v>
      </c>
      <c r="H209" s="17">
        <v>0</v>
      </c>
      <c r="I209" s="17">
        <v>0</v>
      </c>
      <c r="J209" s="16">
        <f>F209*(G209+ (G209= 0))*(H209+ (H209= 0))*(I209+ (I209= 0))</f>
        <v>132</v>
      </c>
      <c r="K209" s="11"/>
      <c r="L209" s="11"/>
      <c r="M209" s="11"/>
    </row>
    <row r="210" spans="1:13" x14ac:dyDescent="0.25">
      <c r="A210" s="11"/>
      <c r="B210" s="11"/>
      <c r="C210" s="11"/>
      <c r="D210" s="14"/>
      <c r="E210" s="15" t="s">
        <v>97</v>
      </c>
      <c r="F210" s="11">
        <v>0</v>
      </c>
      <c r="G210" s="17">
        <v>0</v>
      </c>
      <c r="H210" s="17">
        <v>0</v>
      </c>
      <c r="I210" s="17">
        <v>0</v>
      </c>
      <c r="J210" s="16">
        <f>F210*(G210+ (G210= 0))*(H210+ (H210= 0))*(I210+ (I210= 0))</f>
        <v>0</v>
      </c>
      <c r="K210" s="11"/>
      <c r="L210" s="11"/>
      <c r="M210" s="11"/>
    </row>
    <row r="211" spans="1:13" x14ac:dyDescent="0.25">
      <c r="A211" s="11"/>
      <c r="B211" s="11"/>
      <c r="C211" s="11"/>
      <c r="D211" s="14"/>
      <c r="E211" s="15" t="s">
        <v>98</v>
      </c>
      <c r="F211" s="11">
        <v>1</v>
      </c>
      <c r="G211" s="17">
        <v>0</v>
      </c>
      <c r="H211" s="17">
        <v>0</v>
      </c>
      <c r="I211" s="17">
        <v>0</v>
      </c>
      <c r="J211" s="16">
        <f>F211*(G211+ (G211= 0))*(H211+ (H211= 0))*(I211+ (I211= 0))</f>
        <v>1</v>
      </c>
      <c r="K211" s="11"/>
      <c r="L211" s="11"/>
      <c r="M211" s="11"/>
    </row>
    <row r="212" spans="1:13" x14ac:dyDescent="0.25">
      <c r="A212" s="11"/>
      <c r="B212" s="11"/>
      <c r="C212" s="11"/>
      <c r="D212" s="14"/>
      <c r="E212" s="15" t="s">
        <v>99</v>
      </c>
      <c r="F212" s="11">
        <v>1</v>
      </c>
      <c r="G212" s="17">
        <v>0</v>
      </c>
      <c r="H212" s="17">
        <v>0</v>
      </c>
      <c r="I212" s="17">
        <v>0</v>
      </c>
      <c r="J212" s="16">
        <f>F212*(G212+ (G212= 0))*(H212+ (H212= 0))*(I212+ (I212= 0))</f>
        <v>1</v>
      </c>
      <c r="K212" s="11"/>
      <c r="L212" s="11"/>
      <c r="M212" s="11"/>
    </row>
    <row r="213" spans="1:13" x14ac:dyDescent="0.25">
      <c r="A213" s="11"/>
      <c r="B213" s="11"/>
      <c r="C213" s="11"/>
      <c r="D213" s="14"/>
      <c r="E213" s="15" t="s">
        <v>100</v>
      </c>
      <c r="F213" s="11">
        <v>1</v>
      </c>
      <c r="G213" s="17">
        <v>0</v>
      </c>
      <c r="H213" s="17">
        <v>0</v>
      </c>
      <c r="I213" s="17">
        <v>0</v>
      </c>
      <c r="J213" s="16">
        <f>F213*(G213+ (G213= 0))*(H213+ (H213= 0))*(I213+ (I213= 0))</f>
        <v>1</v>
      </c>
      <c r="K213" s="11"/>
      <c r="L213" s="11"/>
      <c r="M213" s="11"/>
    </row>
    <row r="214" spans="1:13" x14ac:dyDescent="0.25">
      <c r="A214" s="11"/>
      <c r="B214" s="11"/>
      <c r="C214" s="11"/>
      <c r="D214" s="14"/>
      <c r="E214" s="15" t="s">
        <v>101</v>
      </c>
      <c r="F214" s="11">
        <v>2</v>
      </c>
      <c r="G214" s="17">
        <v>0</v>
      </c>
      <c r="H214" s="17">
        <v>0</v>
      </c>
      <c r="I214" s="17">
        <v>0</v>
      </c>
      <c r="J214" s="16">
        <f>F214*(G214+ (G214= 0))*(H214+ (H214= 0))*(I214+ (I214= 0))</f>
        <v>2</v>
      </c>
      <c r="K214" s="11"/>
      <c r="L214" s="11"/>
      <c r="M214" s="11"/>
    </row>
    <row r="215" spans="1:13" x14ac:dyDescent="0.25">
      <c r="A215" s="11"/>
      <c r="B215" s="11"/>
      <c r="C215" s="11"/>
      <c r="D215" s="14"/>
      <c r="E215" s="15" t="s">
        <v>102</v>
      </c>
      <c r="F215" s="11">
        <v>1</v>
      </c>
      <c r="G215" s="17">
        <v>0</v>
      </c>
      <c r="H215" s="17">
        <v>0</v>
      </c>
      <c r="I215" s="17">
        <v>0</v>
      </c>
      <c r="J215" s="16">
        <f>F215*(G215+ (G215= 0))*(H215+ (H215= 0))*(I215+ (I215= 0))</f>
        <v>1</v>
      </c>
      <c r="K215" s="11"/>
      <c r="L215" s="11"/>
      <c r="M215" s="11"/>
    </row>
    <row r="216" spans="1:13" x14ac:dyDescent="0.25">
      <c r="A216" s="11"/>
      <c r="B216" s="11"/>
      <c r="C216" s="11"/>
      <c r="D216" s="14"/>
      <c r="E216" s="15" t="s">
        <v>103</v>
      </c>
      <c r="F216" s="11">
        <v>4</v>
      </c>
      <c r="G216" s="17">
        <v>0</v>
      </c>
      <c r="H216" s="17">
        <v>0</v>
      </c>
      <c r="I216" s="17">
        <v>0</v>
      </c>
      <c r="J216" s="16">
        <f>F216*(G216+ (G216= 0))*(H216+ (H216= 0))*(I216+ (I216= 0))</f>
        <v>4</v>
      </c>
      <c r="K216" s="11"/>
      <c r="L216" s="11"/>
      <c r="M216" s="11"/>
    </row>
    <row r="217" spans="1:13" x14ac:dyDescent="0.25">
      <c r="A217" s="11"/>
      <c r="B217" s="11"/>
      <c r="C217" s="11"/>
      <c r="D217" s="14"/>
      <c r="E217" s="15" t="s">
        <v>104</v>
      </c>
      <c r="F217" s="11">
        <v>2</v>
      </c>
      <c r="G217" s="17">
        <v>0</v>
      </c>
      <c r="H217" s="17">
        <v>0</v>
      </c>
      <c r="I217" s="17">
        <v>0</v>
      </c>
      <c r="J217" s="16">
        <f>F217*(G217+ (G217= 0))*(H217+ (H217= 0))*(I217+ (I217= 0))</f>
        <v>2</v>
      </c>
      <c r="K217" s="11"/>
      <c r="L217" s="11"/>
      <c r="M217" s="11"/>
    </row>
    <row r="218" spans="1:13" x14ac:dyDescent="0.25">
      <c r="A218" s="11"/>
      <c r="B218" s="11"/>
      <c r="C218" s="11"/>
      <c r="D218" s="14"/>
      <c r="E218" s="15" t="s">
        <v>103</v>
      </c>
      <c r="F218" s="11">
        <v>0</v>
      </c>
      <c r="G218" s="17">
        <v>0</v>
      </c>
      <c r="H218" s="17">
        <v>0</v>
      </c>
      <c r="I218" s="17">
        <v>0</v>
      </c>
      <c r="J218" s="16">
        <f>F218*(G218+ (G218= 0))*(H218+ (H218= 0))*(I218+ (I218= 0))</f>
        <v>0</v>
      </c>
      <c r="K218" s="11"/>
      <c r="L218" s="11"/>
      <c r="M218" s="11"/>
    </row>
    <row r="219" spans="1:13" x14ac:dyDescent="0.25">
      <c r="A219" s="11"/>
      <c r="B219" s="11"/>
      <c r="C219" s="11"/>
      <c r="D219" s="14"/>
      <c r="E219" s="15" t="s">
        <v>105</v>
      </c>
      <c r="F219" s="11">
        <v>1</v>
      </c>
      <c r="G219" s="17">
        <v>0</v>
      </c>
      <c r="H219" s="17">
        <v>0</v>
      </c>
      <c r="I219" s="17">
        <v>0</v>
      </c>
      <c r="J219" s="16">
        <f>F219*(G219+ (G219= 0))*(H219+ (H219= 0))*(I219+ (I219= 0))</f>
        <v>1</v>
      </c>
      <c r="K219" s="11"/>
      <c r="L219" s="11"/>
      <c r="M219" s="11"/>
    </row>
    <row r="220" spans="1:13" x14ac:dyDescent="0.25">
      <c r="A220" s="11"/>
      <c r="B220" s="11"/>
      <c r="C220" s="11"/>
      <c r="D220" s="14"/>
      <c r="E220" s="15" t="s">
        <v>129</v>
      </c>
      <c r="F220" s="11">
        <v>0</v>
      </c>
      <c r="G220" s="17">
        <v>0</v>
      </c>
      <c r="H220" s="17">
        <v>0</v>
      </c>
      <c r="I220" s="17">
        <v>0</v>
      </c>
      <c r="J220" s="16">
        <f>F220*(G220+ (G220= 0))*(H220+ (H220= 0))*(I220+ (I220= 0))</f>
        <v>0</v>
      </c>
      <c r="K220" s="11"/>
      <c r="L220" s="11"/>
      <c r="M220" s="11"/>
    </row>
    <row r="221" spans="1:13" x14ac:dyDescent="0.25">
      <c r="A221" s="11"/>
      <c r="B221" s="11"/>
      <c r="C221" s="11"/>
      <c r="D221" s="14"/>
      <c r="E221" s="15" t="s">
        <v>105</v>
      </c>
      <c r="F221" s="11">
        <v>0</v>
      </c>
      <c r="G221" s="17">
        <v>0</v>
      </c>
      <c r="H221" s="17">
        <v>0</v>
      </c>
      <c r="I221" s="17">
        <v>0</v>
      </c>
      <c r="J221" s="16">
        <f>F221*(G221+ (G221= 0))*(H221+ (H221= 0))*(I221+ (I221= 0))</f>
        <v>0</v>
      </c>
      <c r="K221" s="11"/>
      <c r="L221" s="11"/>
      <c r="M221" s="11"/>
    </row>
    <row r="222" spans="1:13" x14ac:dyDescent="0.25">
      <c r="A222" s="11"/>
      <c r="B222" s="11"/>
      <c r="C222" s="11"/>
      <c r="D222" s="14"/>
      <c r="E222" s="15" t="s">
        <v>107</v>
      </c>
      <c r="F222" s="11">
        <v>0</v>
      </c>
      <c r="G222" s="17">
        <v>0</v>
      </c>
      <c r="H222" s="17">
        <v>0</v>
      </c>
      <c r="I222" s="17">
        <v>0</v>
      </c>
      <c r="J222" s="16">
        <f>F222*(G222+ (G222= 0))*(H222+ (H222= 0))*(I222+ (I222= 0))</f>
        <v>0</v>
      </c>
      <c r="K222" s="11"/>
      <c r="L222" s="11"/>
      <c r="M222" s="11"/>
    </row>
    <row r="223" spans="1:13" x14ac:dyDescent="0.25">
      <c r="A223" s="11"/>
      <c r="B223" s="11"/>
      <c r="C223" s="11"/>
      <c r="D223" s="14"/>
      <c r="E223" s="11"/>
      <c r="F223" s="11"/>
      <c r="G223" s="11"/>
      <c r="H223" s="11"/>
      <c r="I223" s="11"/>
      <c r="J223" s="18" t="s">
        <v>136</v>
      </c>
      <c r="K223" s="10">
        <f>SUM(J207:J222)</f>
        <v>409</v>
      </c>
      <c r="L223" s="17">
        <v>0</v>
      </c>
      <c r="M223" s="10">
        <f>ROUND(L223*K223,2)</f>
        <v>0</v>
      </c>
    </row>
    <row r="224" spans="1:13" x14ac:dyDescent="0.25">
      <c r="A224" s="19"/>
      <c r="B224" s="19"/>
      <c r="C224" s="19"/>
      <c r="D224" s="26"/>
      <c r="E224" s="19"/>
      <c r="F224" s="19"/>
      <c r="G224" s="19"/>
      <c r="H224" s="19"/>
      <c r="I224" s="19"/>
      <c r="J224" s="19"/>
      <c r="K224" s="19"/>
      <c r="L224" s="19"/>
      <c r="M224" s="19"/>
    </row>
    <row r="225" spans="1:13" x14ac:dyDescent="0.25">
      <c r="A225" s="11"/>
      <c r="B225" s="11"/>
      <c r="C225" s="11"/>
      <c r="D225" s="14"/>
      <c r="E225" s="11"/>
      <c r="F225" s="11"/>
      <c r="G225" s="11"/>
      <c r="H225" s="11"/>
      <c r="I225" s="11"/>
      <c r="J225" s="18" t="s">
        <v>137</v>
      </c>
      <c r="K225" s="17">
        <v>1</v>
      </c>
      <c r="L225" s="10">
        <f>M153+M158+M178+M183+M203+M223</f>
        <v>0</v>
      </c>
      <c r="M225" s="10">
        <f>ROUND(L225*K225,2)</f>
        <v>0</v>
      </c>
    </row>
    <row r="226" spans="1:13" x14ac:dyDescent="0.25">
      <c r="A226" s="19"/>
      <c r="B226" s="19"/>
      <c r="C226" s="19"/>
      <c r="D226" s="26"/>
      <c r="E226" s="19"/>
      <c r="F226" s="19"/>
      <c r="G226" s="19"/>
      <c r="H226" s="19"/>
      <c r="I226" s="19"/>
      <c r="J226" s="19"/>
      <c r="K226" s="19"/>
      <c r="L226" s="19"/>
      <c r="M226" s="19"/>
    </row>
    <row r="227" spans="1:13" x14ac:dyDescent="0.25">
      <c r="A227" s="12" t="s">
        <v>138</v>
      </c>
      <c r="B227" s="12" t="s">
        <v>17</v>
      </c>
      <c r="C227" s="12" t="s">
        <v>18</v>
      </c>
      <c r="D227" s="24" t="s">
        <v>139</v>
      </c>
      <c r="E227" s="13"/>
      <c r="F227" s="13"/>
      <c r="G227" s="13"/>
      <c r="H227" s="13"/>
      <c r="I227" s="13"/>
      <c r="J227" s="13"/>
      <c r="K227" s="10">
        <f>K254</f>
        <v>1</v>
      </c>
      <c r="L227" s="10">
        <f>L254</f>
        <v>0</v>
      </c>
      <c r="M227" s="10">
        <f>M254</f>
        <v>0</v>
      </c>
    </row>
    <row r="228" spans="1:13" x14ac:dyDescent="0.25">
      <c r="A228" s="11"/>
      <c r="B228" s="11"/>
      <c r="C228" s="11"/>
      <c r="D228" s="14"/>
      <c r="E228" s="11"/>
      <c r="F228" s="11"/>
      <c r="G228" s="11"/>
      <c r="H228" s="11"/>
      <c r="I228" s="11"/>
      <c r="J228" s="11"/>
      <c r="K228" s="11"/>
      <c r="L228" s="11"/>
      <c r="M228" s="11"/>
    </row>
    <row r="229" spans="1:13" x14ac:dyDescent="0.25">
      <c r="A229" s="12" t="s">
        <v>140</v>
      </c>
      <c r="B229" s="12" t="s">
        <v>17</v>
      </c>
      <c r="C229" s="12" t="s">
        <v>84</v>
      </c>
      <c r="D229" s="24" t="s">
        <v>141</v>
      </c>
      <c r="E229" s="13"/>
      <c r="F229" s="13"/>
      <c r="G229" s="13"/>
      <c r="H229" s="13"/>
      <c r="I229" s="13"/>
      <c r="J229" s="13"/>
      <c r="K229" s="10">
        <f>K250</f>
        <v>1</v>
      </c>
      <c r="L229" s="10">
        <f>L250</f>
        <v>0</v>
      </c>
      <c r="M229" s="10">
        <f>M250</f>
        <v>0</v>
      </c>
    </row>
    <row r="230" spans="1:13" x14ac:dyDescent="0.25">
      <c r="A230" s="11"/>
      <c r="B230" s="11"/>
      <c r="C230" s="11"/>
      <c r="D230" s="14"/>
      <c r="E230" s="11"/>
      <c r="F230" s="11"/>
      <c r="G230" s="11"/>
      <c r="H230" s="11"/>
      <c r="I230" s="11"/>
      <c r="J230" s="11"/>
      <c r="K230" s="11"/>
      <c r="L230" s="11"/>
      <c r="M230" s="11"/>
    </row>
    <row r="231" spans="1:13" x14ac:dyDescent="0.25">
      <c r="A231" s="15" t="s">
        <v>142</v>
      </c>
      <c r="B231" s="15" t="s">
        <v>23</v>
      </c>
      <c r="C231" s="15" t="s">
        <v>18</v>
      </c>
      <c r="D231" s="25" t="s">
        <v>143</v>
      </c>
      <c r="E231" s="11"/>
      <c r="F231" s="11"/>
      <c r="G231" s="11"/>
      <c r="H231" s="11"/>
      <c r="I231" s="11"/>
      <c r="J231" s="11"/>
      <c r="K231" s="16">
        <f>K236</f>
        <v>16</v>
      </c>
      <c r="L231" s="16">
        <f>L236</f>
        <v>0</v>
      </c>
      <c r="M231" s="16">
        <f>M236</f>
        <v>0</v>
      </c>
    </row>
    <row r="232" spans="1:13" ht="225" x14ac:dyDescent="0.25">
      <c r="A232" s="11"/>
      <c r="B232" s="11"/>
      <c r="C232" s="11"/>
      <c r="D232" s="14" t="s">
        <v>144</v>
      </c>
      <c r="E232" s="11"/>
      <c r="F232" s="11"/>
      <c r="G232" s="11"/>
      <c r="H232" s="11"/>
      <c r="I232" s="11"/>
      <c r="J232" s="11"/>
      <c r="K232" s="11"/>
      <c r="L232" s="11"/>
      <c r="M232" s="11"/>
    </row>
    <row r="233" spans="1:13" x14ac:dyDescent="0.25">
      <c r="A233" s="11"/>
      <c r="B233" s="11"/>
      <c r="C233" s="11"/>
      <c r="D233" s="14"/>
      <c r="E233" s="15" t="s">
        <v>145</v>
      </c>
      <c r="F233" s="11">
        <v>14</v>
      </c>
      <c r="G233" s="17">
        <v>0</v>
      </c>
      <c r="H233" s="17">
        <v>0</v>
      </c>
      <c r="I233" s="17">
        <v>0</v>
      </c>
      <c r="J233" s="16">
        <f>F233*(G233+ (G233= 0))*(H233+ (H233= 0))*(I233+ (I233= 0))</f>
        <v>14</v>
      </c>
      <c r="K233" s="11"/>
      <c r="L233" s="11"/>
      <c r="M233" s="11"/>
    </row>
    <row r="234" spans="1:13" x14ac:dyDescent="0.25">
      <c r="A234" s="11"/>
      <c r="B234" s="11"/>
      <c r="C234" s="11"/>
      <c r="D234" s="14"/>
      <c r="E234" s="15" t="s">
        <v>146</v>
      </c>
      <c r="F234" s="11">
        <v>1</v>
      </c>
      <c r="G234" s="17">
        <v>0</v>
      </c>
      <c r="H234" s="17">
        <v>0</v>
      </c>
      <c r="I234" s="17">
        <v>0</v>
      </c>
      <c r="J234" s="16">
        <f>F234*(G234+ (G234= 0))*(H234+ (H234= 0))*(I234+ (I234= 0))</f>
        <v>1</v>
      </c>
      <c r="K234" s="11"/>
      <c r="L234" s="11"/>
      <c r="M234" s="11"/>
    </row>
    <row r="235" spans="1:13" x14ac:dyDescent="0.25">
      <c r="A235" s="11"/>
      <c r="B235" s="11"/>
      <c r="C235" s="11"/>
      <c r="D235" s="14"/>
      <c r="E235" s="15" t="s">
        <v>147</v>
      </c>
      <c r="F235" s="11">
        <v>1</v>
      </c>
      <c r="G235" s="17">
        <v>0</v>
      </c>
      <c r="H235" s="17">
        <v>0</v>
      </c>
      <c r="I235" s="17">
        <v>0</v>
      </c>
      <c r="J235" s="16">
        <f>F235*(G235+ (G235= 0))*(H235+ (H235= 0))*(I235+ (I235= 0))</f>
        <v>1</v>
      </c>
      <c r="K235" s="11"/>
      <c r="L235" s="11"/>
      <c r="M235" s="11"/>
    </row>
    <row r="236" spans="1:13" x14ac:dyDescent="0.25">
      <c r="A236" s="11"/>
      <c r="B236" s="11"/>
      <c r="C236" s="11"/>
      <c r="D236" s="14"/>
      <c r="E236" s="11"/>
      <c r="F236" s="11"/>
      <c r="G236" s="11"/>
      <c r="H236" s="11"/>
      <c r="I236" s="11"/>
      <c r="J236" s="18" t="s">
        <v>148</v>
      </c>
      <c r="K236" s="10">
        <f>SUM(J233:J235)</f>
        <v>16</v>
      </c>
      <c r="L236" s="17">
        <v>0</v>
      </c>
      <c r="M236" s="10">
        <f>ROUND(L236*K236,2)</f>
        <v>0</v>
      </c>
    </row>
    <row r="237" spans="1:13" x14ac:dyDescent="0.25">
      <c r="A237" s="19"/>
      <c r="B237" s="19"/>
      <c r="C237" s="19"/>
      <c r="D237" s="26"/>
      <c r="E237" s="19"/>
      <c r="F237" s="19"/>
      <c r="G237" s="19"/>
      <c r="H237" s="19"/>
      <c r="I237" s="19"/>
      <c r="J237" s="19"/>
      <c r="K237" s="19"/>
      <c r="L237" s="19"/>
      <c r="M237" s="19"/>
    </row>
    <row r="238" spans="1:13" x14ac:dyDescent="0.25">
      <c r="A238" s="15" t="s">
        <v>149</v>
      </c>
      <c r="B238" s="15" t="s">
        <v>23</v>
      </c>
      <c r="C238" s="15" t="s">
        <v>18</v>
      </c>
      <c r="D238" s="25" t="s">
        <v>150</v>
      </c>
      <c r="E238" s="11"/>
      <c r="F238" s="11"/>
      <c r="G238" s="11"/>
      <c r="H238" s="11"/>
      <c r="I238" s="11"/>
      <c r="J238" s="11"/>
      <c r="K238" s="16">
        <f>K241</f>
        <v>32</v>
      </c>
      <c r="L238" s="16">
        <f>L241</f>
        <v>0</v>
      </c>
      <c r="M238" s="16">
        <f>M241</f>
        <v>0</v>
      </c>
    </row>
    <row r="239" spans="1:13" ht="22.5" x14ac:dyDescent="0.25">
      <c r="A239" s="11"/>
      <c r="B239" s="11"/>
      <c r="C239" s="11"/>
      <c r="D239" s="14" t="s">
        <v>151</v>
      </c>
      <c r="E239" s="11"/>
      <c r="F239" s="11"/>
      <c r="G239" s="11"/>
      <c r="H239" s="11"/>
      <c r="I239" s="11"/>
      <c r="J239" s="11"/>
      <c r="K239" s="11"/>
      <c r="L239" s="11"/>
      <c r="M239" s="11"/>
    </row>
    <row r="240" spans="1:13" x14ac:dyDescent="0.25">
      <c r="A240" s="11"/>
      <c r="B240" s="11"/>
      <c r="C240" s="11"/>
      <c r="D240" s="14"/>
      <c r="E240" s="15" t="s">
        <v>84</v>
      </c>
      <c r="F240" s="11">
        <v>16</v>
      </c>
      <c r="G240" s="17">
        <v>2</v>
      </c>
      <c r="H240" s="17">
        <v>0</v>
      </c>
      <c r="I240" s="17">
        <v>0</v>
      </c>
      <c r="J240" s="16">
        <f>F240*(G240+ (G240= 0))*(H240+ (H240= 0))*(I240+ (I240= 0))</f>
        <v>32</v>
      </c>
      <c r="K240" s="11"/>
      <c r="L240" s="11"/>
      <c r="M240" s="11"/>
    </row>
    <row r="241" spans="1:13" x14ac:dyDescent="0.25">
      <c r="A241" s="11"/>
      <c r="B241" s="11"/>
      <c r="C241" s="11"/>
      <c r="D241" s="14"/>
      <c r="E241" s="11"/>
      <c r="F241" s="11"/>
      <c r="G241" s="11"/>
      <c r="H241" s="11"/>
      <c r="I241" s="11"/>
      <c r="J241" s="18" t="s">
        <v>152</v>
      </c>
      <c r="K241" s="10">
        <f>SUM(J240:J240)</f>
        <v>32</v>
      </c>
      <c r="L241" s="17">
        <v>0</v>
      </c>
      <c r="M241" s="10">
        <f>ROUND(L241*K241,2)</f>
        <v>0</v>
      </c>
    </row>
    <row r="242" spans="1:13" x14ac:dyDescent="0.25">
      <c r="A242" s="19"/>
      <c r="B242" s="19"/>
      <c r="C242" s="19"/>
      <c r="D242" s="26"/>
      <c r="E242" s="19"/>
      <c r="F242" s="19"/>
      <c r="G242" s="19"/>
      <c r="H242" s="19"/>
      <c r="I242" s="19"/>
      <c r="J242" s="19"/>
      <c r="K242" s="19"/>
      <c r="L242" s="19"/>
      <c r="M242" s="19"/>
    </row>
    <row r="243" spans="1:13" x14ac:dyDescent="0.25">
      <c r="A243" s="15" t="s">
        <v>153</v>
      </c>
      <c r="B243" s="15" t="s">
        <v>23</v>
      </c>
      <c r="C243" s="15" t="s">
        <v>18</v>
      </c>
      <c r="D243" s="25" t="s">
        <v>154</v>
      </c>
      <c r="E243" s="11"/>
      <c r="F243" s="11"/>
      <c r="G243" s="11"/>
      <c r="H243" s="11"/>
      <c r="I243" s="11"/>
      <c r="J243" s="11"/>
      <c r="K243" s="16">
        <f>K248</f>
        <v>16</v>
      </c>
      <c r="L243" s="16">
        <f>L248</f>
        <v>0</v>
      </c>
      <c r="M243" s="16">
        <f>M248</f>
        <v>0</v>
      </c>
    </row>
    <row r="244" spans="1:13" ht="33.75" x14ac:dyDescent="0.25">
      <c r="A244" s="11"/>
      <c r="B244" s="11"/>
      <c r="C244" s="11"/>
      <c r="D244" s="14" t="s">
        <v>155</v>
      </c>
      <c r="E244" s="11"/>
      <c r="F244" s="11"/>
      <c r="G244" s="11"/>
      <c r="H244" s="11"/>
      <c r="I244" s="11"/>
      <c r="J244" s="11"/>
      <c r="K244" s="11"/>
      <c r="L244" s="11"/>
      <c r="M244" s="11"/>
    </row>
    <row r="245" spans="1:13" x14ac:dyDescent="0.25">
      <c r="A245" s="11"/>
      <c r="B245" s="11"/>
      <c r="C245" s="11"/>
      <c r="D245" s="14"/>
      <c r="E245" s="15" t="s">
        <v>145</v>
      </c>
      <c r="F245" s="11">
        <v>14</v>
      </c>
      <c r="G245" s="17">
        <v>0</v>
      </c>
      <c r="H245" s="17">
        <v>0</v>
      </c>
      <c r="I245" s="17">
        <v>0</v>
      </c>
      <c r="J245" s="16">
        <f>F245*(G245+ (G245= 0))*(H245+ (H245= 0))*(I245+ (I245= 0))</f>
        <v>14</v>
      </c>
      <c r="K245" s="11"/>
      <c r="L245" s="11"/>
      <c r="M245" s="11"/>
    </row>
    <row r="246" spans="1:13" x14ac:dyDescent="0.25">
      <c r="A246" s="11"/>
      <c r="B246" s="11"/>
      <c r="C246" s="11"/>
      <c r="D246" s="14"/>
      <c r="E246" s="15" t="s">
        <v>146</v>
      </c>
      <c r="F246" s="11">
        <v>1</v>
      </c>
      <c r="G246" s="17">
        <v>0</v>
      </c>
      <c r="H246" s="17">
        <v>0</v>
      </c>
      <c r="I246" s="17">
        <v>0</v>
      </c>
      <c r="J246" s="16">
        <f>F246*(G246+ (G246= 0))*(H246+ (H246= 0))*(I246+ (I246= 0))</f>
        <v>1</v>
      </c>
      <c r="K246" s="11"/>
      <c r="L246" s="11"/>
      <c r="M246" s="11"/>
    </row>
    <row r="247" spans="1:13" x14ac:dyDescent="0.25">
      <c r="A247" s="11"/>
      <c r="B247" s="11"/>
      <c r="C247" s="11"/>
      <c r="D247" s="14"/>
      <c r="E247" s="15" t="s">
        <v>147</v>
      </c>
      <c r="F247" s="11">
        <v>1</v>
      </c>
      <c r="G247" s="17">
        <v>0</v>
      </c>
      <c r="H247" s="17">
        <v>0</v>
      </c>
      <c r="I247" s="17">
        <v>0</v>
      </c>
      <c r="J247" s="16">
        <f>F247*(G247+ (G247= 0))*(H247+ (H247= 0))*(I247+ (I247= 0))</f>
        <v>1</v>
      </c>
      <c r="K247" s="11"/>
      <c r="L247" s="11"/>
      <c r="M247" s="11"/>
    </row>
    <row r="248" spans="1:13" x14ac:dyDescent="0.25">
      <c r="A248" s="11"/>
      <c r="B248" s="11"/>
      <c r="C248" s="11"/>
      <c r="D248" s="14"/>
      <c r="E248" s="11"/>
      <c r="F248" s="11"/>
      <c r="G248" s="11"/>
      <c r="H248" s="11"/>
      <c r="I248" s="11"/>
      <c r="J248" s="18" t="s">
        <v>156</v>
      </c>
      <c r="K248" s="10">
        <f>SUM(J245:J247)</f>
        <v>16</v>
      </c>
      <c r="L248" s="17">
        <v>0</v>
      </c>
      <c r="M248" s="10">
        <f>ROUND(L248*K248,2)</f>
        <v>0</v>
      </c>
    </row>
    <row r="249" spans="1:13" x14ac:dyDescent="0.25">
      <c r="A249" s="19"/>
      <c r="B249" s="19"/>
      <c r="C249" s="19"/>
      <c r="D249" s="26"/>
      <c r="E249" s="19"/>
      <c r="F249" s="19"/>
      <c r="G249" s="19"/>
      <c r="H249" s="19"/>
      <c r="I249" s="19"/>
      <c r="J249" s="19"/>
      <c r="K249" s="19"/>
      <c r="L249" s="19"/>
      <c r="M249" s="19"/>
    </row>
    <row r="250" spans="1:13" x14ac:dyDescent="0.25">
      <c r="A250" s="11"/>
      <c r="B250" s="11"/>
      <c r="C250" s="11"/>
      <c r="D250" s="14"/>
      <c r="E250" s="11"/>
      <c r="F250" s="11"/>
      <c r="G250" s="11"/>
      <c r="H250" s="11"/>
      <c r="I250" s="11"/>
      <c r="J250" s="18" t="s">
        <v>157</v>
      </c>
      <c r="K250" s="17">
        <v>1</v>
      </c>
      <c r="L250" s="10">
        <f>M236+M241+M248</f>
        <v>0</v>
      </c>
      <c r="M250" s="10">
        <f>ROUND(L250*K250,2)</f>
        <v>0</v>
      </c>
    </row>
    <row r="251" spans="1:13" x14ac:dyDescent="0.25">
      <c r="A251" s="19"/>
      <c r="B251" s="19"/>
      <c r="C251" s="19"/>
      <c r="D251" s="26"/>
      <c r="E251" s="19"/>
      <c r="F251" s="19"/>
      <c r="G251" s="19"/>
      <c r="H251" s="19"/>
      <c r="I251" s="19"/>
      <c r="J251" s="19"/>
      <c r="K251" s="19"/>
      <c r="L251" s="19"/>
      <c r="M251" s="19"/>
    </row>
    <row r="252" spans="1:13" x14ac:dyDescent="0.25">
      <c r="A252" s="12" t="s">
        <v>158</v>
      </c>
      <c r="B252" s="12" t="s">
        <v>17</v>
      </c>
      <c r="C252" s="12" t="s">
        <v>84</v>
      </c>
      <c r="D252" s="24" t="s">
        <v>159</v>
      </c>
      <c r="E252" s="13"/>
      <c r="F252" s="13"/>
      <c r="G252" s="13"/>
      <c r="H252" s="13"/>
      <c r="I252" s="13"/>
      <c r="J252" s="13"/>
      <c r="K252" s="20">
        <v>1</v>
      </c>
      <c r="L252" s="20">
        <v>0</v>
      </c>
      <c r="M252" s="20">
        <f>ROUND(K252*L252,2)</f>
        <v>0</v>
      </c>
    </row>
    <row r="253" spans="1:13" x14ac:dyDescent="0.25">
      <c r="A253" s="11"/>
      <c r="B253" s="11"/>
      <c r="C253" s="11"/>
      <c r="D253" s="14" t="s">
        <v>192</v>
      </c>
      <c r="E253" s="11"/>
      <c r="F253" s="11"/>
      <c r="G253" s="11"/>
      <c r="H253" s="11"/>
      <c r="I253" s="11"/>
      <c r="J253" s="11"/>
      <c r="K253" s="11"/>
      <c r="L253" s="11"/>
      <c r="M253" s="11"/>
    </row>
    <row r="254" spans="1:13" x14ac:dyDescent="0.25">
      <c r="A254" s="11"/>
      <c r="B254" s="11"/>
      <c r="C254" s="11"/>
      <c r="D254" s="14"/>
      <c r="E254" s="11"/>
      <c r="F254" s="11"/>
      <c r="G254" s="11"/>
      <c r="H254" s="11"/>
      <c r="I254" s="11"/>
      <c r="J254" s="18" t="s">
        <v>160</v>
      </c>
      <c r="K254" s="17">
        <v>1</v>
      </c>
      <c r="L254" s="10">
        <f>M250+M252</f>
        <v>0</v>
      </c>
      <c r="M254" s="10">
        <f>ROUND(L254*K254,2)</f>
        <v>0</v>
      </c>
    </row>
    <row r="255" spans="1:13" x14ac:dyDescent="0.25">
      <c r="A255" s="19"/>
      <c r="B255" s="19"/>
      <c r="C255" s="19"/>
      <c r="D255" s="26"/>
      <c r="E255" s="19"/>
      <c r="F255" s="19"/>
      <c r="G255" s="19"/>
      <c r="H255" s="19"/>
      <c r="I255" s="19"/>
      <c r="J255" s="19"/>
      <c r="K255" s="19"/>
      <c r="L255" s="19"/>
      <c r="M255" s="19"/>
    </row>
    <row r="256" spans="1:13" x14ac:dyDescent="0.25">
      <c r="A256" s="12" t="s">
        <v>161</v>
      </c>
      <c r="B256" s="12" t="s">
        <v>17</v>
      </c>
      <c r="C256" s="12" t="s">
        <v>18</v>
      </c>
      <c r="D256" s="24" t="s">
        <v>162</v>
      </c>
      <c r="E256" s="13"/>
      <c r="F256" s="13"/>
      <c r="G256" s="13"/>
      <c r="H256" s="13"/>
      <c r="I256" s="13"/>
      <c r="J256" s="13"/>
      <c r="K256" s="20">
        <v>1</v>
      </c>
      <c r="L256" s="20">
        <v>0</v>
      </c>
      <c r="M256" s="20">
        <f>ROUND(K256*L256,2)</f>
        <v>0</v>
      </c>
    </row>
    <row r="257" spans="1:13" x14ac:dyDescent="0.25">
      <c r="A257" s="11"/>
      <c r="B257" s="11"/>
      <c r="C257" s="11"/>
      <c r="D257" s="14" t="s">
        <v>191</v>
      </c>
      <c r="E257" s="11"/>
      <c r="F257" s="11"/>
      <c r="G257" s="11"/>
      <c r="H257" s="11"/>
      <c r="I257" s="11"/>
      <c r="J257" s="11"/>
      <c r="K257" s="11"/>
      <c r="L257" s="11"/>
      <c r="M257" s="11"/>
    </row>
    <row r="258" spans="1:13" x14ac:dyDescent="0.25">
      <c r="A258" s="12" t="s">
        <v>163</v>
      </c>
      <c r="B258" s="12" t="s">
        <v>17</v>
      </c>
      <c r="C258" s="12" t="s">
        <v>18</v>
      </c>
      <c r="D258" s="24" t="s">
        <v>164</v>
      </c>
      <c r="E258" s="13"/>
      <c r="F258" s="13"/>
      <c r="G258" s="13"/>
      <c r="H258" s="13"/>
      <c r="I258" s="13"/>
      <c r="J258" s="13"/>
      <c r="K258" s="10">
        <f>K270</f>
        <v>1</v>
      </c>
      <c r="L258" s="10">
        <f>L270</f>
        <v>0</v>
      </c>
      <c r="M258" s="10">
        <f>M270</f>
        <v>0</v>
      </c>
    </row>
    <row r="259" spans="1:13" x14ac:dyDescent="0.25">
      <c r="A259" s="11"/>
      <c r="B259" s="11"/>
      <c r="C259" s="11"/>
      <c r="D259" s="14"/>
      <c r="E259" s="11"/>
      <c r="F259" s="11"/>
      <c r="G259" s="11"/>
      <c r="H259" s="11"/>
      <c r="I259" s="11"/>
      <c r="J259" s="11"/>
      <c r="K259" s="11"/>
      <c r="L259" s="11"/>
      <c r="M259" s="11"/>
    </row>
    <row r="260" spans="1:13" x14ac:dyDescent="0.25">
      <c r="A260" s="15" t="s">
        <v>165</v>
      </c>
      <c r="B260" s="15" t="s">
        <v>23</v>
      </c>
      <c r="C260" s="15" t="s">
        <v>18</v>
      </c>
      <c r="D260" s="25" t="s">
        <v>166</v>
      </c>
      <c r="E260" s="11"/>
      <c r="F260" s="11"/>
      <c r="G260" s="11"/>
      <c r="H260" s="11"/>
      <c r="I260" s="11"/>
      <c r="J260" s="11"/>
      <c r="K260" s="16">
        <f>K263</f>
        <v>1</v>
      </c>
      <c r="L260" s="16">
        <f>L263</f>
        <v>0</v>
      </c>
      <c r="M260" s="16">
        <f>M263</f>
        <v>0</v>
      </c>
    </row>
    <row r="261" spans="1:13" x14ac:dyDescent="0.25">
      <c r="A261" s="11"/>
      <c r="B261" s="11"/>
      <c r="C261" s="11"/>
      <c r="D261" s="14" t="s">
        <v>190</v>
      </c>
      <c r="E261" s="11"/>
      <c r="F261" s="11"/>
      <c r="G261" s="11"/>
      <c r="H261" s="11"/>
      <c r="I261" s="11"/>
      <c r="J261" s="11"/>
      <c r="K261" s="11"/>
      <c r="L261" s="11"/>
      <c r="M261" s="11"/>
    </row>
    <row r="262" spans="1:13" x14ac:dyDescent="0.25">
      <c r="A262" s="11"/>
      <c r="B262" s="11"/>
      <c r="C262" s="11"/>
      <c r="D262" s="14"/>
      <c r="E262" s="15" t="s">
        <v>84</v>
      </c>
      <c r="F262" s="11">
        <v>1</v>
      </c>
      <c r="G262" s="17">
        <v>0</v>
      </c>
      <c r="H262" s="17">
        <v>0</v>
      </c>
      <c r="I262" s="17">
        <v>0</v>
      </c>
      <c r="J262" s="16">
        <f>F262*(G262+ (G262= 0))*(H262+ (H262= 0))*(I262+ (I262= 0))</f>
        <v>1</v>
      </c>
      <c r="K262" s="11"/>
      <c r="L262" s="11"/>
      <c r="M262" s="11"/>
    </row>
    <row r="263" spans="1:13" x14ac:dyDescent="0.25">
      <c r="A263" s="11"/>
      <c r="B263" s="11"/>
      <c r="C263" s="11"/>
      <c r="D263" s="14"/>
      <c r="E263" s="11"/>
      <c r="F263" s="11"/>
      <c r="G263" s="11"/>
      <c r="H263" s="11"/>
      <c r="I263" s="11"/>
      <c r="J263" s="18" t="s">
        <v>167</v>
      </c>
      <c r="K263" s="10">
        <f>SUM(J262:J262)</f>
        <v>1</v>
      </c>
      <c r="L263" s="17">
        <v>0</v>
      </c>
      <c r="M263" s="10">
        <f>ROUND(L263*K263,2)</f>
        <v>0</v>
      </c>
    </row>
    <row r="264" spans="1:13" x14ac:dyDescent="0.25">
      <c r="A264" s="19"/>
      <c r="B264" s="19"/>
      <c r="C264" s="19"/>
      <c r="D264" s="26"/>
      <c r="E264" s="19"/>
      <c r="F264" s="19"/>
      <c r="G264" s="19"/>
      <c r="H264" s="19"/>
      <c r="I264" s="19"/>
      <c r="J264" s="19"/>
      <c r="K264" s="19"/>
      <c r="L264" s="19"/>
      <c r="M264" s="19"/>
    </row>
    <row r="265" spans="1:13" x14ac:dyDescent="0.25">
      <c r="A265" s="15" t="s">
        <v>168</v>
      </c>
      <c r="B265" s="15" t="s">
        <v>23</v>
      </c>
      <c r="C265" s="15" t="s">
        <v>18</v>
      </c>
      <c r="D265" s="25" t="s">
        <v>169</v>
      </c>
      <c r="E265" s="11"/>
      <c r="F265" s="11"/>
      <c r="G265" s="11"/>
      <c r="H265" s="11"/>
      <c r="I265" s="11"/>
      <c r="J265" s="11"/>
      <c r="K265" s="16">
        <f>K268</f>
        <v>1</v>
      </c>
      <c r="L265" s="16">
        <f>L268</f>
        <v>0</v>
      </c>
      <c r="M265" s="16">
        <f>M268</f>
        <v>0</v>
      </c>
    </row>
    <row r="266" spans="1:13" ht="22.5" x14ac:dyDescent="0.25">
      <c r="A266" s="11"/>
      <c r="B266" s="11"/>
      <c r="C266" s="11"/>
      <c r="D266" s="14" t="s">
        <v>170</v>
      </c>
      <c r="E266" s="11"/>
      <c r="F266" s="11"/>
      <c r="G266" s="11"/>
      <c r="H266" s="11"/>
      <c r="I266" s="11"/>
      <c r="J266" s="11"/>
      <c r="K266" s="11"/>
      <c r="L266" s="11"/>
      <c r="M266" s="11"/>
    </row>
    <row r="267" spans="1:13" x14ac:dyDescent="0.25">
      <c r="A267" s="11"/>
      <c r="B267" s="11"/>
      <c r="C267" s="11"/>
      <c r="D267" s="14"/>
      <c r="E267" s="15" t="s">
        <v>84</v>
      </c>
      <c r="F267" s="11">
        <v>1</v>
      </c>
      <c r="G267" s="17">
        <v>0</v>
      </c>
      <c r="H267" s="17">
        <v>0</v>
      </c>
      <c r="I267" s="17">
        <v>0</v>
      </c>
      <c r="J267" s="16">
        <f>F267*(G267+ (G267= 0))*(H267+ (H267= 0))*(I267+ (I267= 0))</f>
        <v>1</v>
      </c>
      <c r="K267" s="11"/>
      <c r="L267" s="11"/>
      <c r="M267" s="11"/>
    </row>
    <row r="268" spans="1:13" x14ac:dyDescent="0.25">
      <c r="A268" s="11"/>
      <c r="B268" s="11"/>
      <c r="C268" s="11"/>
      <c r="D268" s="14"/>
      <c r="E268" s="11"/>
      <c r="F268" s="11"/>
      <c r="G268" s="11"/>
      <c r="H268" s="11"/>
      <c r="I268" s="11"/>
      <c r="J268" s="18" t="s">
        <v>171</v>
      </c>
      <c r="K268" s="10">
        <f>SUM(J267:J267)</f>
        <v>1</v>
      </c>
      <c r="L268" s="17">
        <v>0</v>
      </c>
      <c r="M268" s="10">
        <f>ROUND(L268*K268,2)</f>
        <v>0</v>
      </c>
    </row>
    <row r="269" spans="1:13" x14ac:dyDescent="0.25">
      <c r="A269" s="19"/>
      <c r="B269" s="19"/>
      <c r="C269" s="19"/>
      <c r="D269" s="26"/>
      <c r="E269" s="19"/>
      <c r="F269" s="19"/>
      <c r="G269" s="19"/>
      <c r="H269" s="19"/>
      <c r="I269" s="19"/>
      <c r="J269" s="19"/>
      <c r="K269" s="19"/>
      <c r="L269" s="19"/>
      <c r="M269" s="19"/>
    </row>
    <row r="270" spans="1:13" x14ac:dyDescent="0.25">
      <c r="A270" s="11"/>
      <c r="B270" s="11"/>
      <c r="C270" s="11"/>
      <c r="D270" s="14"/>
      <c r="E270" s="11"/>
      <c r="F270" s="11"/>
      <c r="G270" s="11"/>
      <c r="H270" s="11"/>
      <c r="I270" s="11"/>
      <c r="J270" s="18" t="s">
        <v>172</v>
      </c>
      <c r="K270" s="17">
        <v>1</v>
      </c>
      <c r="L270" s="10">
        <f>M263+M268</f>
        <v>0</v>
      </c>
      <c r="M270" s="10">
        <f>ROUND(L270*K270,2)</f>
        <v>0</v>
      </c>
    </row>
    <row r="271" spans="1:13" x14ac:dyDescent="0.25">
      <c r="A271" s="19"/>
      <c r="B271" s="19"/>
      <c r="C271" s="19"/>
      <c r="D271" s="26"/>
      <c r="E271" s="19"/>
      <c r="F271" s="19"/>
      <c r="G271" s="19"/>
      <c r="H271" s="19"/>
      <c r="I271" s="19"/>
      <c r="J271" s="19"/>
      <c r="K271" s="19"/>
      <c r="L271" s="19"/>
      <c r="M271" s="19"/>
    </row>
    <row r="272" spans="1:13" x14ac:dyDescent="0.25">
      <c r="A272" s="11"/>
      <c r="B272" s="11"/>
      <c r="C272" s="11"/>
      <c r="D272" s="14"/>
      <c r="E272" s="11"/>
      <c r="F272" s="11"/>
      <c r="G272" s="11"/>
      <c r="H272" s="11"/>
      <c r="I272" s="11"/>
      <c r="J272" s="18" t="s">
        <v>173</v>
      </c>
      <c r="K272" s="17">
        <v>1</v>
      </c>
      <c r="L272" s="10">
        <f>M38+M134+M225+M254+M256+M270</f>
        <v>0</v>
      </c>
      <c r="M272" s="10">
        <f>ROUND(L272*K272,2)</f>
        <v>0</v>
      </c>
    </row>
    <row r="273" spans="1:13" x14ac:dyDescent="0.25">
      <c r="A273" s="19"/>
      <c r="B273" s="19"/>
      <c r="C273" s="19"/>
      <c r="D273" s="26"/>
      <c r="E273" s="19"/>
      <c r="F273" s="19"/>
      <c r="G273" s="19"/>
      <c r="H273" s="19"/>
      <c r="I273" s="19"/>
      <c r="J273" s="19"/>
      <c r="K273" s="19"/>
      <c r="L273" s="19"/>
      <c r="M273" s="19"/>
    </row>
    <row r="274" spans="1:13" x14ac:dyDescent="0.25">
      <c r="A274" s="12" t="s">
        <v>174</v>
      </c>
      <c r="B274" s="12" t="s">
        <v>17</v>
      </c>
      <c r="C274" s="12" t="s">
        <v>18</v>
      </c>
      <c r="D274" s="24" t="s">
        <v>175</v>
      </c>
      <c r="E274" s="13"/>
      <c r="F274" s="13"/>
      <c r="G274" s="13"/>
      <c r="H274" s="13"/>
      <c r="I274" s="13"/>
      <c r="J274" s="13"/>
      <c r="K274" s="20">
        <v>1</v>
      </c>
      <c r="L274" s="20">
        <v>0</v>
      </c>
      <c r="M274" s="20">
        <f>ROUND(K274*L274,2)</f>
        <v>0</v>
      </c>
    </row>
    <row r="275" spans="1:13" ht="22.5" x14ac:dyDescent="0.25">
      <c r="A275" s="11"/>
      <c r="B275" s="11"/>
      <c r="C275" s="11"/>
      <c r="D275" s="14" t="s">
        <v>176</v>
      </c>
      <c r="E275" s="11"/>
      <c r="F275" s="11"/>
      <c r="G275" s="11"/>
      <c r="H275" s="11"/>
      <c r="I275" s="11"/>
      <c r="J275" s="11"/>
      <c r="K275" s="11"/>
      <c r="L275" s="11"/>
      <c r="M275" s="11"/>
    </row>
    <row r="276" spans="1:13" x14ac:dyDescent="0.25">
      <c r="A276" s="11"/>
      <c r="B276" s="11"/>
      <c r="C276" s="11"/>
      <c r="D276" s="14"/>
      <c r="E276" s="11"/>
      <c r="F276" s="11"/>
      <c r="G276" s="11"/>
      <c r="H276" s="11"/>
      <c r="I276" s="11"/>
      <c r="J276" s="18" t="s">
        <v>177</v>
      </c>
      <c r="K276" s="21">
        <v>1</v>
      </c>
      <c r="L276" s="10">
        <f>M14+M24+M26+M272+M274</f>
        <v>0</v>
      </c>
      <c r="M276" s="10">
        <f>ROUND(L276*K276,2)</f>
        <v>0</v>
      </c>
    </row>
    <row r="277" spans="1:13" x14ac:dyDescent="0.25">
      <c r="A277" s="19"/>
      <c r="B277" s="19"/>
      <c r="C277" s="19"/>
      <c r="D277" s="26"/>
      <c r="E277" s="19"/>
      <c r="F277" s="19"/>
      <c r="G277" s="19"/>
      <c r="H277" s="19"/>
      <c r="I277" s="19"/>
      <c r="J277" s="19"/>
      <c r="K277" s="19"/>
      <c r="L277" s="19"/>
      <c r="M277" s="19"/>
    </row>
    <row r="278" spans="1:13" x14ac:dyDescent="0.25">
      <c r="A278" s="11"/>
      <c r="B278" s="11"/>
      <c r="C278" s="11"/>
      <c r="D278" s="14"/>
      <c r="E278" s="11"/>
      <c r="F278" s="11"/>
      <c r="G278" s="11"/>
      <c r="H278" s="11"/>
      <c r="I278" s="11"/>
      <c r="J278" s="18" t="s">
        <v>178</v>
      </c>
      <c r="K278" s="21">
        <v>1</v>
      </c>
      <c r="L278" s="10">
        <f>M276</f>
        <v>0</v>
      </c>
      <c r="M278" s="10">
        <f>ROUND(L278*K278,2)</f>
        <v>0</v>
      </c>
    </row>
    <row r="279" spans="1:13" x14ac:dyDescent="0.25">
      <c r="A279" s="11"/>
      <c r="B279" s="11"/>
      <c r="C279" s="11"/>
      <c r="D279" s="14"/>
      <c r="E279" s="11"/>
      <c r="F279" s="11"/>
      <c r="G279" s="11"/>
      <c r="H279" s="11"/>
      <c r="I279" s="11"/>
      <c r="J279" s="11"/>
      <c r="K279" s="11"/>
      <c r="L279" s="11"/>
      <c r="M279" s="11"/>
    </row>
  </sheetData>
  <dataValidations count="1">
    <dataValidation type="list" allowBlank="1" showInputMessage="1" showErrorMessage="1" sqref="B4:B279" xr:uid="{C04E0A9E-0B5F-4E2D-92FC-A7E8A2A892D6}">
      <formula1>"Capítulo,Partida,Mano de obra,Maquinaria,Material,Otros,"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Tomeu</dc:creator>
  <cp:lastModifiedBy>Tomeu</cp:lastModifiedBy>
  <dcterms:created xsi:type="dcterms:W3CDTF">2025-07-17T09:21:05Z</dcterms:created>
  <dcterms:modified xsi:type="dcterms:W3CDTF">2025-07-17T09:23:01Z</dcterms:modified>
</cp:coreProperties>
</file>